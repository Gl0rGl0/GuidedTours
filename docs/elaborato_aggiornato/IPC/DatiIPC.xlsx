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piti" sheetId="1" r:id="rId5"/>
    <sheet state="visible" name="dati" sheetId="2" r:id="rId6"/>
    <sheet state="visible" name="sus" sheetId="3" r:id="rId7"/>
    <sheet state="visible" name="euristica" sheetId="4" r:id="rId8"/>
  </sheets>
  <definedNames>
    <definedName name="NamedRange1">sus!$A$11:$M$24</definedName>
  </definedNames>
  <calcPr/>
</workbook>
</file>

<file path=xl/sharedStrings.xml><?xml version="1.0" encoding="utf-8"?>
<sst xmlns="http://schemas.openxmlformats.org/spreadsheetml/2006/main" count="1519" uniqueCount="256">
  <si>
    <t>Colonna 1</t>
  </si>
  <si>
    <t>V1</t>
  </si>
  <si>
    <t>Colonna 2</t>
  </si>
  <si>
    <t>Colonna 3</t>
  </si>
  <si>
    <t>Colonna 4</t>
  </si>
  <si>
    <t>Colonna 5</t>
  </si>
  <si>
    <t>Colonna 6</t>
  </si>
  <si>
    <t>Colonna 7</t>
  </si>
  <si>
    <t>Colonna 8</t>
  </si>
  <si>
    <t>V2</t>
  </si>
  <si>
    <t>Colonna 9</t>
  </si>
  <si>
    <t>Colonna 10</t>
  </si>
  <si>
    <t>Colonna 11</t>
  </si>
  <si>
    <t>Colonna 12</t>
  </si>
  <si>
    <t>Colonna 13</t>
  </si>
  <si>
    <t>Colonna 14</t>
  </si>
  <si>
    <t>Colonna 15</t>
  </si>
  <si>
    <t>TASK</t>
  </si>
  <si>
    <t>Tempo_s</t>
  </si>
  <si>
    <t>Click</t>
  </si>
  <si>
    <t>Errori</t>
  </si>
  <si>
    <t>Difficoltà</t>
  </si>
  <si>
    <t>Origine</t>
  </si>
  <si>
    <t>C</t>
  </si>
  <si>
    <t>CA</t>
  </si>
  <si>
    <t>NC</t>
  </si>
  <si>
    <t>Utente_ID</t>
  </si>
  <si>
    <t>Gruppo</t>
  </si>
  <si>
    <t>Task_ID</t>
  </si>
  <si>
    <t>Task_Name</t>
  </si>
  <si>
    <t>Versione</t>
  </si>
  <si>
    <t>Completato</t>
  </si>
  <si>
    <t>A</t>
  </si>
  <si>
    <t>Sede organizzazione</t>
  </si>
  <si>
    <t>B</t>
  </si>
  <si>
    <t>Registrazione e accesso</t>
  </si>
  <si>
    <t>Prenotazione a "Torre dell'Aquila"</t>
  </si>
  <si>
    <t>Trova codice prenotazione</t>
  </si>
  <si>
    <t>Cancella prenotazione</t>
  </si>
  <si>
    <t>Switch account volontario</t>
  </si>
  <si>
    <t>Imposta disponibilità</t>
  </si>
  <si>
    <t>Switch account admin</t>
  </si>
  <si>
    <t>Creazione visita guidata</t>
  </si>
  <si>
    <t>Eliminazione di un tipo di visita</t>
  </si>
  <si>
    <t>Change Password</t>
  </si>
  <si>
    <t>Metrica</t>
  </si>
  <si>
    <t>Note</t>
  </si>
  <si>
    <t>SUS Score</t>
  </si>
  <si>
    <t>Scala 0-100</t>
  </si>
  <si>
    <t>Adjective Rating</t>
  </si>
  <si>
    <t>OK</t>
  </si>
  <si>
    <t>Bangor et al. (2009)</t>
  </si>
  <si>
    <t>Grade</t>
  </si>
  <si>
    <t>Sauro &amp; Lewis (2016)</t>
  </si>
  <si>
    <t>Acceptability</t>
  </si>
  <si>
    <t>Marginal</t>
  </si>
  <si>
    <t>Acceptable</t>
  </si>
  <si>
    <t>Percentile Rank</t>
  </si>
  <si>
    <t>Bottom 30%</t>
  </si>
  <si>
    <t>~50%</t>
  </si>
  <si>
    <t>Media industriale SUS ≈ 68</t>
  </si>
  <si>
    <t>Differenza (V2 - V1)</t>
  </si>
  <si>
    <t>Miglioramento tra le versioni</t>
  </si>
  <si>
    <t>Partecipante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</si>
  <si>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</si>
  <si>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</si>
  <si>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</si>
  <si>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</si>
  <si>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</si>
  <si>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</si>
  <si>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</si>
  <si>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</si>
  <si>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</si>
  <si>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</si>
  <si>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Contributo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</si>
  <si>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</si>
  <si>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</si>
  <si>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</si>
  <si>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</si>
  <si>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</si>
  <si>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</si>
  <si>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</si>
  <si>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</si>
  <si>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</si>
  <si>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</si>
  <si>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</si>
  <si>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</si>
  <si>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Media V1</t>
  </si>
  <si>
    <t>Media V2</t>
  </si>
  <si>
    <t>ID</t>
  </si>
  <si>
    <t>Titolo</t>
  </si>
  <si>
    <t>Posizione</t>
  </si>
  <si>
    <t>Descrizione</t>
  </si>
  <si>
    <t>Principi</t>
  </si>
  <si>
    <t>NumV</t>
  </si>
  <si>
    <t>Severità</t>
  </si>
  <si>
    <t>Valutatori</t>
  </si>
  <si>
    <t>G</t>
  </si>
  <si>
    <t>M</t>
  </si>
  <si>
    <t>D</t>
  </si>
  <si>
    <t>Cursore non coerente su elementi cliccabili</t>
  </si>
  <si>
    <t>Globale (vari elementi UI)</t>
  </si>
  <si>
    <t>Su alcuni elementi interattivi il cursore del mouse non cambia aspetto (da freccia a puntatore/mano), riducendo la percezione della cliccabilità (affordance) dell'elemento.</t>
  </si>
  <si>
    <t>4</t>
  </si>
  <si>
    <t>1</t>
  </si>
  <si>
    <t>2</t>
  </si>
  <si>
    <t>G,M</t>
  </si>
  <si>
    <t>Assenza notifica rischio annullamento visita</t>
  </si>
  <si>
    <t>Dashboard</t>
  </si>
  <si>
    <t>I partecipanti non vengono avvisati che l'iscrizione alla visita è solamente una prenotazione in caso il tour stesso venga effettuato (quindi abbia partecipanti a sufficienza).</t>
  </si>
  <si>
    <t>3</t>
  </si>
  <si>
    <t>Semantica colore "Proposed"</t>
  </si>
  <si>
    <t>Homepage</t>
  </si>
  <si>
    <t>Il tag di stato "Proposed" utilizza il colore giallo, risultando visivamente associabile a un messaggio di avviso (warning) piuttosto che a uno stato informativo neutrale.</t>
  </si>
  <si>
    <t>1, 2</t>
  </si>
  <si>
    <t>G,D</t>
  </si>
  <si>
    <t>Inconsistenza cromatica "Proposed"</t>
  </si>
  <si>
    <t>Il tag di stato "Proposed" presenta incostanza cromatica: appare giallo in alcune schermate e blu in altre, riducendo la consistenza interna dell'interfaccia.</t>
  </si>
  <si>
    <t>G,M,D</t>
  </si>
  <si>
    <t># Quantità</t>
  </si>
  <si>
    <t>Chiarezza nota pagamento</t>
  </si>
  <si>
    <t>Il messaggio informativo relativo alle modalità di pagamento risulta ambiguo e di difficile comprensione per l'utente finale.</t>
  </si>
  <si>
    <t>5, 7</t>
  </si>
  <si>
    <t>Stile nota pagamento</t>
  </si>
  <si>
    <t>Lo stile visivo della nota di pagamento manca di distinzione (contrasto/spaziatura) rispetto al testo circostante, riducendone la leggibilità.</t>
  </si>
  <si>
    <t>Ambiguità cromatica stati visita</t>
  </si>
  <si>
    <t>Gli stati "Confirmed" e "Complete" condividono la stessa codifica cromatica. Questa sovrapposizione impedisce di distinguere a colpo d'occhio una visita futura da una conclusa.</t>
  </si>
  <si>
    <t>1, 4</t>
  </si>
  <si>
    <t>Mancanza feedback disponibilità</t>
  </si>
  <si>
    <t>Assenza di notifiche o indicatori visivi sullo stato di saturazione delle visite (es. avvisi di "ultimi posti disponibili").</t>
  </si>
  <si>
    <t>M,D</t>
  </si>
  <si>
    <t>Ridondanza "Visite confermate"</t>
  </si>
  <si>
    <t>La sezione "Visite confermate" appare ridondante rispetto al flusso principale e di scarso valore informativo per l'utente, suggerendone la rimozione o riorganizzazione.</t>
  </si>
  <si>
    <t>7</t>
  </si>
  <si>
    <t>Mancanza personalizzazione Homepage</t>
  </si>
  <si>
    <t>La pagina principale non presenta messaggi di benvenuto o contenuti differenziati in base al ruolo dell'utente loggato (Volontario o Fruitore), rendendo l'esperienza generica.</t>
  </si>
  <si>
    <t>Area cliccabile limitata</t>
  </si>
  <si>
    <t>L'accesso ai dettagli della visita è vincolato al solo pulsante dedicato; la mancata interattività del titolo viola le aspettative standard di navigazione web.</t>
  </si>
  <si>
    <t>5</t>
  </si>
  <si>
    <t>Gerarchia visiva debole</t>
  </si>
  <si>
    <t>Titolo e sottotitolo mancano della necessaria evidenza grafica, compromettendo la gerarchia visiva rispetto al corpo del contenuto.</t>
  </si>
  <si>
    <t>1, 2, 4</t>
  </si>
  <si>
    <t>P13</t>
  </si>
  <si>
    <t>Assenza shortcut area personale</t>
  </si>
  <si>
    <t>Dalle card delle visite in Homepage manca un collegamento diretto (shortcut) che indirizzi l'utente alla propria area personale/dashboard, compromettendo la libertà di navigazione e obbligando l'operatore a passaggi ridondanti per tornare all'hub di controllo centrale.</t>
  </si>
  <si>
    <t>P14</t>
  </si>
  <si>
    <t>Incoerenza linguistica</t>
  </si>
  <si>
    <t>Footer</t>
  </si>
  <si>
    <t>Presenza della dicitura in italiano "Sito di visite guidate" nel footer, in contrasto con l'interfaccia localizzata interamente in inglese.</t>
  </si>
  <si>
    <t>P15</t>
  </si>
  <si>
    <t>Visibilità ridotta logo</t>
  </si>
  <si>
    <t>Header/Navbar</t>
  </si>
  <si>
    <t>Scarsa visibilità e contrasto insufficiente del logo istituzionale (Unibs), che ne compromettono la riconoscibilità.</t>
  </si>
  <si>
    <t>P16</t>
  </si>
  <si>
    <t>Mancanza toggle visibilità password</t>
  </si>
  <si>
    <t>Login/Register</t>
  </si>
  <si>
    <t>Assenza dell'icona per visualizzare temporaneamente la password (eye-icon) nei form di login e registrazione, aumentando la probabilità di errori di digitazione.</t>
  </si>
  <si>
    <t>P17</t>
  </si>
  <si>
    <t>Navigazione ambigua verso "Register"</t>
  </si>
  <si>
    <t>Login</t>
  </si>
  <si>
    <t>Presenza di molteplici punti di accesso (link/pulsanti) alla pagina di registrazione, causa di disorientamento nel percorso utente.</t>
  </si>
  <si>
    <t>4, 7</t>
  </si>
  <si>
    <t>Grado</t>
  </si>
  <si>
    <t>P18</t>
  </si>
  <si>
    <t>Ridondanza informativa Ruoli</t>
  </si>
  <si>
    <t>L'indicazione testuale specifica del ruolo "User/Fruitore only" risulta ridondante, aumentando il rumore visivo dell'interfaccia.</t>
  </si>
  <si>
    <t>8</t>
  </si>
  <si>
    <t>P19</t>
  </si>
  <si>
    <t>Feedback di errore non user-friendly</t>
  </si>
  <si>
    <t>Il messaggio di errore in caso di credenziali errate è eccessivamente tecnico (espone dettagli di sistema) e poco informativo per l'utente.</t>
  </si>
  <si>
    <t>1, 3, 5</t>
  </si>
  <si>
    <t>P20</t>
  </si>
  <si>
    <t>Assenza recupero password</t>
  </si>
  <si>
    <t>Manca una funzionalità o un meccanismo chiaro per il recupero delle credenziali ("Password dimenticata") in caso di smarrimento.</t>
  </si>
  <si>
    <t>3, 9</t>
  </si>
  <si>
    <t>P21</t>
  </si>
  <si>
    <t>Carico cognitivo posti disponibili</t>
  </si>
  <si>
    <t>Tour Registration Form</t>
  </si>
  <si>
    <t>In fase di iscrizione manca il conteggio esplicito dei posti residui, imponendo all'utente un calcolo non necessario.</t>
  </si>
  <si>
    <t>1, 6</t>
  </si>
  <si>
    <t>P22</t>
  </si>
  <si>
    <t>Navigazione ridondante verso "Login"</t>
  </si>
  <si>
    <t>Register</t>
  </si>
  <si>
    <t>Presenza eccessiva di link per tornare alla fase di login all'interno della pagina di registrazione, fonte di distrazione e disordine.</t>
  </si>
  <si>
    <t>P23</t>
  </si>
  <si>
    <t>L'indicazione testuale specifica del ruolo "User/Fruitore only" risulta ridondante e appesantisce l'interfaccia.</t>
  </si>
  <si>
    <t>P24</t>
  </si>
  <si>
    <t>Validazione tardiva input</t>
  </si>
  <si>
    <t>La validazione dei vincoli sullo username avviene solo dopo l'invio del form (server-side), invece che in tempo reale, rallentando l'interazione.</t>
  </si>
  <si>
    <t>P25</t>
  </si>
  <si>
    <t>Visibilità "Booking code"</t>
  </si>
  <si>
    <t>Dashboard Fruitore</t>
  </si>
  <si>
    <t>Scarsa evidenza grafica del "Booking code" e assenza di indicazioni contestuali (tooltip o etichette) sulla sua funzione e utilizzo.</t>
  </si>
  <si>
    <t>P26</t>
  </si>
  <si>
    <t>Ambiguità etichetta "Participant"</t>
  </si>
  <si>
    <t>L'etichetta "Participant" non chiarisce se il contatore si riferisca agli iscritti del proprio sottogruppo o al totale dei partecipanti alla visita.</t>
  </si>
  <si>
    <t>P27</t>
  </si>
  <si>
    <t>Affordance ingannevole "My Booking"</t>
  </si>
  <si>
    <t>Violazione dell'affordance: elementi grafici nella sezione "My Booking" suggeriscono interattività (appaiono cliccabili) ma non producono alcuna azione.</t>
  </si>
  <si>
    <t>P28</t>
  </si>
  <si>
    <t>Stile pulsante eliminazione</t>
  </si>
  <si>
    <t>Il pulsante per l'eliminazione della prenotazione presenta uno stile incoerente rispetto al Design System globale del sito.</t>
  </si>
  <si>
    <t>P29</t>
  </si>
  <si>
    <t>Inconsistenza terminologica</t>
  </si>
  <si>
    <t>My Past Visits</t>
  </si>
  <si>
    <t>Incongruenza nell'uso dei termini "Registrations" e "Participants" rispetto alle altre sezioni del sito, creando confusione semantica.</t>
  </si>
  <si>
    <t>P30</t>
  </si>
  <si>
    <t>Incoerenza spaziatura Header</t>
  </si>
  <si>
    <t>General Layout</t>
  </si>
  <si>
    <t>La spaziatura (padding/margin) tra titolo e header risulta eccessiva e non uniforme rispetto al layout delle altre pagine.</t>
  </si>
  <si>
    <t>4, 8</t>
  </si>
  <si>
    <t>P31</t>
  </si>
  <si>
    <t>Validazione tardiva aggiunta utente</t>
  </si>
  <si>
    <t>Admin User Management</t>
  </si>
  <si>
    <t>La validazione della lunghezza dello username in fase di "aggiunta utente" avviene solo post-invio, rallentando il completamento del task.</t>
  </si>
  <si>
    <t>P32</t>
  </si>
  <si>
    <t>Assenza conferma eliminazione</t>
  </si>
  <si>
    <t>Admin Dashboard</t>
  </si>
  <si>
    <t>Il sistema esegue l'eliminazione di un oggetto immediatamente al click, senza richiedere una conferma preventiva (dialogo modale) all'utente.</t>
  </si>
  <si>
    <t>8, 9</t>
  </si>
  <si>
    <t>P33</t>
  </si>
  <si>
    <t>Disorganizzazione del layout</t>
  </si>
  <si>
    <t>Visit Planning</t>
  </si>
  <si>
    <t>L'organizzazione della pagina risulta disordinata e ad alto carico cognitivo, rendendo poco intuitiva la modalità di interazione.</t>
  </si>
  <si>
    <t>2, 8</t>
  </si>
  <si>
    <t>P34</t>
  </si>
  <si>
    <t>Flusso inserimento non intuitivo</t>
  </si>
  <si>
    <t>Add Visit</t>
  </si>
  <si>
    <t>La sequenza logica di inserimento dei dati non è chiara, creando confusione sul corretto ordine delle operazioni.</t>
  </si>
  <si>
    <t>P35</t>
  </si>
  <si>
    <t>Mancanza feedback su vincoli</t>
  </si>
  <si>
    <t>Assenza di feedback espliciti o preventivi in caso di errori procedurali (es. ordine errato di inserimento o mancanza di volontari), lasciando l'utente senza indicazioni per la risoluzione.</t>
  </si>
  <si>
    <t>1, 8</t>
  </si>
  <si>
    <t>P36</t>
  </si>
  <si>
    <t>Email non cliccabili</t>
  </si>
  <si>
    <t>Le mail nel footer assecondano un convenzionale stile ipertestuale, suggerendo interattività. La mancata risposta al click costituisce una grave violazione dell'affordance percepita.</t>
  </si>
  <si>
    <t>P37</t>
  </si>
  <si>
    <t>Mancanza selezione multipla nel calendario</t>
  </si>
  <si>
    <t>Dashboard Guida / Calendario</t>
  </si>
  <si>
    <t>Manca la possibilità di selezionare o deselezionare massivamente i giorni (es. "G,M,D i weekend", "Tutto il mese"). L'utente è costretto a cliccare ogni singolo giorno, riducendo l'efficienza.</t>
  </si>
  <si>
    <t>P38</t>
  </si>
  <si>
    <t>Assenza indicazioni operative per Volontari</t>
  </si>
  <si>
    <t>Sezione "Assigned Visits"</t>
  </si>
  <si>
    <t>Nella pagina operativa delle visite assegnate vi è una carenza documentale (violazione euristica 10); la mancanza di indicazioni e promemoria procedurali (es. controllo biglietti, check-in) aumenta il carico cognitivo dell'operatore, abbandonandolo senza riferimenti operativi al momento del bisogno.</t>
  </si>
  <si>
    <t>10</t>
  </si>
  <si>
    <t>P39</t>
  </si>
  <si>
    <t>Ridondanza nome volontario nelle card</t>
  </si>
  <si>
    <t>Nelle card delle visite assegnate viene visualizzato il nome del volontario incaricato. Poiché la vista è privata dell'utente loggato, questa informazione è ridondante e occupa spazio inutile.</t>
  </si>
  <si>
    <t>P40</t>
  </si>
  <si>
    <t>Messaggio di stato vuoto senza Call to Action</t>
  </si>
  <si>
    <t>Sezione "My Bookings"</t>
  </si>
  <si>
    <t>Quando non ci sono prenotazioni, il sistema mostra un messaggio statico ("You have not booked any tours yet") senza fornire link o suggerimenti per guidare l'utente verso la sezione di prenotazione.</t>
  </si>
  <si>
    <t>6</t>
  </si>
  <si>
    <t>P41</t>
  </si>
  <si>
    <t>Colore bottone non coerente</t>
  </si>
  <si>
    <t>Profile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</si>
</sst>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"/>
    <numFmt numFmtId="165" formatCode="0.0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color theme="1"/>
      <name val="Arial"/>
    </font>
    <font>
      <color rgb="FF000000"/>
      <name val="Arial"/>
    </font>
    <font>
      <b/>
      <color rgb="FF000000"/>
      <name val="Arial"/>
    </font>
    <font>
      <color rgb="FF666666"/>
      <name val="Arial"/>
    </font>
    <font>
      <color rgb="FF008000"/>
      <name val="Arial"/>
    </font>
    <font>
      <b/>
      <sz val="11.0"/>
      <color rgb="FF356854"/>
      <name val="Arial"/>
    </font>
    <font>
      <color rgb="FFD9D9D9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CFE2F3"/>
        <bgColor rgb="FFCFE2F3"/>
      </patternFill>
    </fill>
    <fill>
      <patternFill patternType="solid">
        <fgColor rgb="FFF9CB9C"/>
        <bgColor rgb="FFF9CB9C"/>
      </patternFill>
    </fill>
    <fill>
      <patternFill patternType="solid">
        <fgColor rgb="FFF6F8F9"/>
        <bgColor rgb="FFF6F8F9"/>
      </patternFill>
    </fill>
    <fill>
      <patternFill patternType="solid">
        <fgColor rgb="FFE8F0ED"/>
        <bgColor rgb="FFE8F0ED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356854"/>
      </left>
      <right style="thin">
        <color rgb="FFD0D0D0"/>
      </right>
      <bottom style="thin">
        <color rgb="FFD0D0D0"/>
      </bottom>
    </border>
    <border>
      <left style="thin">
        <color rgb="FFD0D0D0"/>
      </left>
      <right style="thin">
        <color rgb="FFD0D0D0"/>
      </right>
      <bottom style="thin">
        <color rgb="FFD0D0D0"/>
      </bottom>
    </border>
    <border>
      <left style="thin">
        <color rgb="FFD0D0D0"/>
      </left>
      <right style="thin">
        <color rgb="FF356854"/>
      </right>
      <bottom style="thin">
        <color rgb="FFD0D0D0"/>
      </bottom>
    </border>
    <border>
      <left style="thin">
        <color rgb="FF356854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FFD0D0D0"/>
      </left>
      <right style="thin">
        <color rgb="FF356854"/>
      </right>
      <top style="thin">
        <color rgb="FFD0D0D0"/>
      </top>
      <bottom style="thin">
        <color rgb="FFD0D0D0"/>
      </bottom>
    </border>
    <border>
      <left style="thin">
        <color rgb="FF356854"/>
      </left>
      <right style="thin">
        <color rgb="FFD0D0D0"/>
      </right>
      <top style="thin">
        <color rgb="FFD0D0D0"/>
      </top>
      <bottom style="thin">
        <color rgb="FF356854"/>
      </bottom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356854"/>
      </bottom>
    </border>
    <border>
      <left style="thin">
        <color rgb="FFD0D0D0"/>
      </left>
      <right style="thin">
        <color rgb="FF356854"/>
      </right>
      <top style="thin">
        <color rgb="FFD0D0D0"/>
      </top>
      <bottom style="thin">
        <color rgb="FF356854"/>
      </bottom>
    </border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horizontal="left" readingOrder="0" shrinkToFit="0" vertical="center" wrapText="0"/>
    </xf>
    <xf borderId="1" fillId="2" fontId="1" numFmtId="164" xfId="0" applyAlignment="1" applyBorder="1" applyFill="1" applyFont="1" applyNumberFormat="1">
      <alignment readingOrder="0" shrinkToFit="0" vertical="center" wrapText="0"/>
    </xf>
    <xf borderId="2" fillId="3" fontId="1" numFmtId="164" xfId="0" applyAlignment="1" applyBorder="1" applyFill="1" applyFont="1" applyNumberFormat="1">
      <alignment readingOrder="0" shrinkToFit="0" vertical="center" wrapText="0"/>
    </xf>
    <xf borderId="2" fillId="4" fontId="1" numFmtId="164" xfId="0" applyAlignment="1" applyBorder="1" applyFill="1" applyFont="1" applyNumberFormat="1">
      <alignment readingOrder="0" shrinkToFit="0" vertical="center" wrapText="0"/>
    </xf>
    <xf borderId="3" fillId="2" fontId="1" numFmtId="1" xfId="0" applyAlignment="1" applyBorder="1" applyFont="1" applyNumberFormat="1">
      <alignment readingOrder="0" shrinkToFit="0" vertical="center" wrapText="0"/>
    </xf>
    <xf borderId="3" fillId="3" fontId="1" numFmtId="1" xfId="0" applyAlignment="1" applyBorder="1" applyFont="1" applyNumberFormat="1">
      <alignment shrinkToFit="0" vertical="center" wrapText="0"/>
    </xf>
    <xf borderId="3" fillId="3" fontId="1" numFmtId="165" xfId="0" applyAlignment="1" applyBorder="1" applyFont="1" applyNumberFormat="1">
      <alignment shrinkToFit="0" vertical="center" wrapText="0"/>
    </xf>
    <xf borderId="3" fillId="4" fontId="1" numFmtId="1" xfId="0" applyAlignment="1" applyBorder="1" applyFont="1" applyNumberFormat="1">
      <alignment shrinkToFit="0" vertical="center" wrapText="0"/>
    </xf>
    <xf borderId="3" fillId="4" fontId="1" numFmtId="165" xfId="0" applyAlignment="1" applyBorder="1" applyFont="1" applyNumberFormat="1">
      <alignment shrinkToFit="0" vertical="center" wrapText="0"/>
    </xf>
    <xf borderId="2" fillId="2" fontId="1" numFmtId="1" xfId="0" applyAlignment="1" applyBorder="1" applyFont="1" applyNumberFormat="1">
      <alignment readingOrder="0" shrinkToFit="0" vertical="center" wrapText="0"/>
    </xf>
    <xf borderId="2" fillId="3" fontId="1" numFmtId="1" xfId="0" applyAlignment="1" applyBorder="1" applyFont="1" applyNumberFormat="1">
      <alignment shrinkToFit="0" vertical="center" wrapText="0"/>
    </xf>
    <xf borderId="2" fillId="3" fontId="1" numFmtId="165" xfId="0" applyAlignment="1" applyBorder="1" applyFont="1" applyNumberFormat="1">
      <alignment shrinkToFit="0" vertical="center" wrapText="0"/>
    </xf>
    <xf borderId="2" fillId="4" fontId="1" numFmtId="1" xfId="0" applyAlignment="1" applyBorder="1" applyFont="1" applyNumberFormat="1">
      <alignment shrinkToFit="0" vertical="center" wrapText="0"/>
    </xf>
    <xf borderId="2" fillId="4" fontId="1" numFmtId="165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shrinkToFit="0" vertical="bottom" wrapText="0"/>
    </xf>
    <xf borderId="4" fillId="0" fontId="5" numFmtId="0" xfId="0" applyAlignment="1" applyBorder="1" applyFont="1">
      <alignment readingOrder="0" shrinkToFit="0" vertical="bottom" wrapText="0"/>
    </xf>
    <xf borderId="5" fillId="0" fontId="4" numFmtId="165" xfId="0" applyAlignment="1" applyBorder="1" applyFont="1" applyNumberFormat="1">
      <alignment horizontal="center" readingOrder="0" shrinkToFit="0" vertical="bottom" wrapText="0"/>
    </xf>
    <xf borderId="6" fillId="0" fontId="6" numFmtId="0" xfId="0" applyAlignment="1" applyBorder="1" applyFont="1">
      <alignment readingOrder="0" shrinkToFit="0" vertical="bottom" wrapText="0"/>
    </xf>
    <xf borderId="7" fillId="5" fontId="5" numFmtId="0" xfId="0" applyAlignment="1" applyBorder="1" applyFill="1" applyFont="1">
      <alignment readingOrder="0" shrinkToFit="0" vertical="bottom" wrapText="0"/>
    </xf>
    <xf borderId="8" fillId="5" fontId="4" numFmtId="0" xfId="0" applyAlignment="1" applyBorder="1" applyFont="1">
      <alignment horizontal="center" readingOrder="0" shrinkToFit="0" vertical="bottom" wrapText="0"/>
    </xf>
    <xf borderId="9" fillId="5" fontId="6" numFmtId="0" xfId="0" applyAlignment="1" applyBorder="1" applyFont="1">
      <alignment readingOrder="0" shrinkToFit="0" vertical="bottom" wrapText="0"/>
    </xf>
    <xf borderId="7" fillId="0" fontId="5" numFmtId="0" xfId="0" applyAlignment="1" applyBorder="1" applyFont="1">
      <alignment readingOrder="0" shrinkToFit="0" vertical="bottom" wrapText="0"/>
    </xf>
    <xf borderId="8" fillId="0" fontId="4" numFmtId="0" xfId="0" applyAlignment="1" applyBorder="1" applyFont="1">
      <alignment horizontal="center" readingOrder="0" shrinkToFit="0" vertical="bottom" wrapText="0"/>
    </xf>
    <xf borderId="9" fillId="0" fontId="6" numFmtId="0" xfId="0" applyAlignment="1" applyBorder="1" applyFont="1">
      <alignment readingOrder="0" shrinkToFit="0" vertical="bottom" wrapText="0"/>
    </xf>
    <xf borderId="10" fillId="5" fontId="5" numFmtId="0" xfId="0" applyAlignment="1" applyBorder="1" applyFont="1">
      <alignment readingOrder="0" shrinkToFit="0" vertical="bottom" wrapText="0"/>
    </xf>
    <xf borderId="11" fillId="5" fontId="7" numFmtId="0" xfId="0" applyAlignment="1" applyBorder="1" applyFont="1">
      <alignment horizontal="center" shrinkToFit="0" vertical="bottom" wrapText="0"/>
    </xf>
    <xf borderId="11" fillId="5" fontId="4" numFmtId="0" xfId="0" applyAlignment="1" applyBorder="1" applyFont="1">
      <alignment shrinkToFit="0" vertical="bottom" wrapText="0"/>
    </xf>
    <xf borderId="12" fillId="5" fontId="6" numFmtId="0" xfId="0" applyAlignment="1" applyBorder="1" applyFont="1">
      <alignment readingOrder="0"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4" numFmtId="2" xfId="0" applyAlignment="1" applyFont="1" applyNumberFormat="1">
      <alignment readingOrder="0" shrinkToFit="0" vertical="bottom" wrapText="0"/>
    </xf>
    <xf borderId="0" fillId="6" fontId="5" numFmtId="0" xfId="0" applyAlignment="1" applyFill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6" fontId="5" numFmtId="2" xfId="0" applyAlignment="1" applyFont="1" applyNumberFormat="1">
      <alignment readingOrder="0" shrinkToFit="0" vertical="bottom" wrapText="0"/>
    </xf>
    <xf borderId="0" fillId="6" fontId="5" numFmtId="2" xfId="0" applyAlignment="1" applyFont="1" applyNumberFormat="1">
      <alignment horizontal="center"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0" fontId="9" numFmtId="0" xfId="0" applyAlignment="1" applyFont="1">
      <alignment horizontal="right" readingOrder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quotePrefix="1" borderId="0" fillId="0" fontId="1" numFmtId="0" xfId="0" applyAlignment="1" applyFont="1">
      <alignment horizontal="left" readingOrder="0" shrinkToFit="0" vertical="center" wrapText="0"/>
    </xf>
    <xf quotePrefix="1"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9" numFmtId="0" xfId="0" applyFont="1"/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horizontal="left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CDD9D4"/>
          <bgColor rgb="FFCDD9D4"/>
        </patternFill>
      </fill>
      <border/>
    </dxf>
  </dxfs>
  <tableStyles count="9">
    <tableStyle count="4" pivot="0" name="compit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at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u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u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sus-style 3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euristic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uristica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uristica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uristica-style 4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Q14" displayName="task" name="task" id="1">
  <tableColumns count="17">
    <tableColumn name="Colonna 1" id="1"/>
    <tableColumn name="V1" id="2"/>
    <tableColumn name="Colonna 2" id="3"/>
    <tableColumn name="Colonna 3" id="4"/>
    <tableColumn name="Colonna 4" id="5"/>
    <tableColumn name="Colonna 5" id="6"/>
    <tableColumn name="Colonna 6" id="7"/>
    <tableColumn name="Colonna 7" id="8"/>
    <tableColumn name="Colonna 8" id="9"/>
    <tableColumn name="V2" id="10"/>
    <tableColumn name="Colonna 9" id="11"/>
    <tableColumn name="Colonna 10" id="12"/>
    <tableColumn name="Colonna 11" id="13"/>
    <tableColumn name="Colonna 12" id="14"/>
    <tableColumn name="Colonna 13" id="15"/>
    <tableColumn name="Colonna 14" id="16"/>
    <tableColumn name="Colonna 15" id="17"/>
  </tableColumns>
  <tableStyleInfo name="compiti-style" showColumnStripes="0" showFirstColumn="1" showLastColumn="1" showRowStripes="1"/>
</table>
</file>

<file path=xl/tables/table2.xml><?xml version="1.0" encoding="utf-8"?>
<table xmlns="http://schemas.openxmlformats.org/spreadsheetml/2006/main" ref="A1:K265" displayName="datas" name="datas" id="2">
  <tableColumns count="11">
    <tableColumn name="Utente_ID" id="1"/>
    <tableColumn name="Gruppo" id="2"/>
    <tableColumn name="Task_ID" id="3"/>
    <tableColumn name="Task_Name" id="4"/>
    <tableColumn name="Versione" id="5"/>
    <tableColumn name="Completato" id="6"/>
    <tableColumn name="Tempo_s" id="7"/>
    <tableColumn name="Click" id="8"/>
    <tableColumn name="Errori" id="9"/>
    <tableColumn name="Difficoltà" id="10"/>
    <tableColumn name="Origine" id="11"/>
  </tableColumns>
  <tableStyleInfo name="dati-style" showColumnStripes="0" showFirstColumn="1" showLastColumn="1" showRowStripes="1"/>
</table>
</file>

<file path=xl/tables/table3.xml><?xml version="1.0" encoding="utf-8"?>
<table xmlns="http://schemas.openxmlformats.org/spreadsheetml/2006/main" ref="A1:D7" displayName="Riepilogo" name="Riepilogo" id="3">
  <tableColumns count="4">
    <tableColumn name="Metrica" id="1"/>
    <tableColumn name="V1" id="2"/>
    <tableColumn name="V2" id="3"/>
    <tableColumn name="Note" id="4"/>
  </tableColumns>
  <tableStyleInfo name="sus-style" showColumnStripes="0" showFirstColumn="1" showLastColumn="1" showRowStripes="1"/>
</table>
</file>

<file path=xl/tables/table4.xml><?xml version="1.0" encoding="utf-8"?>
<table xmlns="http://schemas.openxmlformats.org/spreadsheetml/2006/main" ref="A11:M24" displayName="RISPOSTE_SUS_V1" name="RISPOSTE_SUS_V1" id="4">
  <tableColumns count="13">
    <tableColumn name="Partecipante" id="1"/>
    <tableColumn name="Q1" id="2"/>
    <tableColumn name="Q2" id="3"/>
    <tableColumn name="Q3" id="4"/>
    <tableColumn name="Q4" id="5"/>
    <tableColumn name="Q5" id="6"/>
    <tableColumn name="Q6" id="7"/>
    <tableColumn name="Q7" id="8"/>
    <tableColumn name="Q8" id="9"/>
    <tableColumn name="Q9" id="10"/>
    <tableColumn name="Q10" id="11"/>
    <tableColumn name="Contributo" id="12"/>
    <tableColumn name="SUS Score" id="13"/>
  </tableColumns>
  <tableStyleInfo name="sus-style 2" showColumnStripes="0" showFirstColumn="1" showLastColumn="1" showRowStripes="1"/>
</table>
</file>

<file path=xl/tables/table5.xml><?xml version="1.0" encoding="utf-8"?>
<table xmlns="http://schemas.openxmlformats.org/spreadsheetml/2006/main" totalsRowCount="1" ref="A27:M40" displayName="RISPOSTE_SUS_V2" name="RISPOSTE_SUS_V2" id="5">
  <tableColumns count="13">
    <tableColumn totalsRowLabel="Media V2" name="Partecipante" id="1"/>
    <tableColumn name="Q1" id="2"/>
    <tableColumn name="Q2" id="3"/>
    <tableColumn name="Q3" id="4"/>
    <tableColumn name="Q4" id="5"/>
    <tableColumn name="Q5" id="6"/>
    <tableColumn name="Q6" id="7"/>
    <tableColumn name="Q7" id="8"/>
    <tableColumn name="Q8" id="9"/>
    <tableColumn name="Q9" id="10"/>
    <tableColumn name="Q10" id="11"/>
    <tableColumn name="Contributo" id="12"/>
    <tableColumn totalsRowFunction="custom" name="SUS Score" id="13"/>
  </tableColumns>
  <tableStyleInfo name="sus-style 3" showColumnStripes="0" showFirstColumn="1" showLastColumn="1" showRowStripes="1"/>
</table>
</file>

<file path=xl/tables/table6.xml><?xml version="1.0" encoding="utf-8"?>
<table xmlns="http://schemas.openxmlformats.org/spreadsheetml/2006/main" ref="A1:H42" displayName="Tabella_2" name="Tabella_2" id="6">
  <tableColumns count="8">
    <tableColumn name="ID" id="1"/>
    <tableColumn name="Titolo" id="2"/>
    <tableColumn name="Posizione" id="3"/>
    <tableColumn name="Descrizione" id="4"/>
    <tableColumn name="Principi" id="5"/>
    <tableColumn name="NumV" id="6"/>
    <tableColumn name="Severità" id="7"/>
    <tableColumn name="Valutatori" id="8"/>
  </tableColumns>
  <tableStyleInfo name="euristica-style" showColumnStripes="0" showFirstColumn="1" showLastColumn="1" showRowStripes="1"/>
</table>
</file>

<file path=xl/tables/table7.xml><?xml version="1.0" encoding="utf-8"?>
<table xmlns="http://schemas.openxmlformats.org/spreadsheetml/2006/main" ref="J1:L2" displayName="Valutatori" name="Valutatori" id="7">
  <tableColumns count="3">
    <tableColumn name="G" id="1"/>
    <tableColumn name="M" id="2"/>
    <tableColumn name="D" id="3"/>
  </tableColumns>
  <tableStyleInfo name="euristica-style 2" showColumnStripes="0" showFirstColumn="1" showLastColumn="1" showRowStripes="1"/>
</table>
</file>

<file path=xl/tables/table8.xml><?xml version="1.0" encoding="utf-8"?>
<table xmlns="http://schemas.openxmlformats.org/spreadsheetml/2006/main" ref="J5:K15" displayName="Tabella_1" name="Tabella_1" id="8">
  <tableColumns count="2">
    <tableColumn name="Principi" id="1"/>
    <tableColumn name="# Quantità" id="2"/>
  </tableColumns>
  <tableStyleInfo name="euristica-style 3" showColumnStripes="0" showFirstColumn="1" showLastColumn="1" showRowStripes="1"/>
</table>
</file>

<file path=xl/tables/table9.xml><?xml version="1.0" encoding="utf-8"?>
<table xmlns="http://schemas.openxmlformats.org/spreadsheetml/2006/main" ref="J18:K22" displayName="Tabella_3" name="Tabella_3" id="9">
  <tableColumns count="2">
    <tableColumn name="Grado" id="1"/>
    <tableColumn name="# Quantità" id="2"/>
  </tableColumns>
  <tableStyleInfo name="euristica-style 4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5" Type="http://schemas.openxmlformats.org/officeDocument/2006/relationships/table" Target="../tables/table3.xml"/><Relationship Id="rId6" Type="http://schemas.openxmlformats.org/officeDocument/2006/relationships/table" Target="../tables/table4.xml"/><Relationship Id="rId7" Type="http://schemas.openxmlformats.org/officeDocument/2006/relationships/table" Target="../tables/table5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9" Type="http://schemas.openxmlformats.org/officeDocument/2006/relationships/table" Target="../tables/table9.xml"/><Relationship Id="rId6" Type="http://schemas.openxmlformats.org/officeDocument/2006/relationships/table" Target="../tables/table6.xml"/><Relationship Id="rId7" Type="http://schemas.openxmlformats.org/officeDocument/2006/relationships/table" Target="../tables/table7.xml"/><Relationship Id="rId8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0"/>
    <col customWidth="1" min="2" max="2" width="12.63"/>
    <col customWidth="1" min="3" max="9" width="13.0"/>
    <col customWidth="1" min="10" max="10" width="12.63"/>
    <col customWidth="1" min="11" max="11" width="13.0"/>
    <col customWidth="1" min="12" max="17" width="13.88"/>
  </cols>
  <sheetData>
    <row r="2" ht="22.5" customHeight="1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</row>
    <row r="3" ht="22.5" customHeight="1">
      <c r="A3" s="3" t="s">
        <v>17</v>
      </c>
      <c r="B3" s="4" t="s">
        <v>18</v>
      </c>
      <c r="C3" s="4" t="s">
        <v>19</v>
      </c>
      <c r="D3" s="4" t="s">
        <v>20</v>
      </c>
      <c r="E3" s="4" t="s">
        <v>21</v>
      </c>
      <c r="F3" s="4" t="s">
        <v>22</v>
      </c>
      <c r="G3" s="4" t="s">
        <v>23</v>
      </c>
      <c r="H3" s="4" t="s">
        <v>24</v>
      </c>
      <c r="I3" s="4" t="s">
        <v>25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ht="22.5" customHeight="1">
      <c r="A4" s="6">
        <v>1.0</v>
      </c>
      <c r="B4" s="7">
        <f>AVERAGEIFS(datas[Tempo_s],datas[Versione], $B$2, datas[Task_ID], $A4)</f>
        <v>40.91666667</v>
      </c>
      <c r="C4" s="7">
        <f>AVERAGEIFS(datas[Click],datas[Versione], $B$2, datas[Task_ID], $A4)</f>
        <v>3</v>
      </c>
      <c r="D4" s="8">
        <f>AVERAGEIFS(datas[Errori],datas[Versione], $B$2, datas[Task_ID], $A4)</f>
        <v>1.5</v>
      </c>
      <c r="E4" s="8">
        <f>AVERAGEIFS(datas[Difficoltà],datas[Versione], $B$2, datas[Task_ID], $A4)</f>
        <v>2.166666667</v>
      </c>
      <c r="F4" s="8">
        <f>AVERAGEIFS(datas[Origine],datas[Versione], $B$2, datas[Task_ID], $A4)</f>
        <v>2</v>
      </c>
      <c r="G4" s="7">
        <f>COUNTIFS(datas[Completato], G$3, datas[Versione], $B$2, datas[Task_ID], $A4)</f>
        <v>8</v>
      </c>
      <c r="H4" s="7">
        <f>COUNTIFS(datas[Completato], H$3, datas[Versione], $B$2, datas[Task_ID], $A4)</f>
        <v>3</v>
      </c>
      <c r="I4" s="7">
        <f>COUNTIFS(datas[Completato], I$3, datas[Versione], $B$2, datas[Task_ID], $A4)</f>
        <v>1</v>
      </c>
      <c r="J4" s="9">
        <f>AVERAGEIFS(datas[Tempo_s],datas[Versione], $J$2, datas[Task_ID], $A4)</f>
        <v>21.83333333</v>
      </c>
      <c r="K4" s="9">
        <f>AVERAGEIFS(datas[Click],datas[Versione], $J$2, datas[Task_ID], $A4)</f>
        <v>1.25</v>
      </c>
      <c r="L4" s="10">
        <f>AVERAGEIFS(datas[Errori],datas[Versione], $J$2, datas[Task_ID], $A4)</f>
        <v>0.08333333333</v>
      </c>
      <c r="M4" s="10">
        <f>AVERAGEIFS(datas[Difficoltà],datas[Versione], $J$2, datas[Task_ID], $A4)</f>
        <v>1.083333333</v>
      </c>
      <c r="N4" s="10">
        <f>AVERAGEIFS(datas[Origine],datas[Versione], $J$2, datas[Task_ID], $A4)</f>
        <v>2.5</v>
      </c>
      <c r="O4" s="9">
        <f>COUNTIFS(datas[Completato], O$3, datas[Versione], $J$2, datas[Task_ID], $A4)</f>
        <v>10</v>
      </c>
      <c r="P4" s="9">
        <f>COUNTIFS(datas[Completato], P$3, datas[Versione], $J$2, datas[Task_ID], $A4)</f>
        <v>2</v>
      </c>
      <c r="Q4" s="9">
        <f>COUNTIFS(datas[Completato], Q$3, datas[Versione], $J$2, datas[Task_ID], $A4)</f>
        <v>0</v>
      </c>
    </row>
    <row r="5" ht="22.5" customHeight="1">
      <c r="A5" s="6">
        <v>2.0</v>
      </c>
      <c r="B5" s="7">
        <f>AVERAGEIFS(datas[Tempo_s],datas[Versione], $B$2, datas[Task_ID], $A5)</f>
        <v>112.75</v>
      </c>
      <c r="C5" s="7">
        <f>AVERAGEIFS(datas[Click],datas[Versione], $B$2, datas[Task_ID], $A5)</f>
        <v>12.75</v>
      </c>
      <c r="D5" s="8">
        <f>AVERAGEIFS(datas[Errori],datas[Versione], $B$2, datas[Task_ID], $A5)</f>
        <v>2.416666667</v>
      </c>
      <c r="E5" s="8">
        <f>AVERAGEIFS(datas[Difficoltà],datas[Versione], $B$2, datas[Task_ID], $A5)</f>
        <v>1.916666667</v>
      </c>
      <c r="F5" s="8">
        <f>AVERAGEIFS(datas[Origine],datas[Versione], $B$2, datas[Task_ID], $A5)</f>
        <v>1.75</v>
      </c>
      <c r="G5" s="7">
        <f>COUNTIFS(datas[Completato], G$3, datas[Versione], $B$2, datas[Task_ID], $A5)</f>
        <v>8</v>
      </c>
      <c r="H5" s="7">
        <f>COUNTIFS(datas[Completato], H$3, datas[Versione], $B$2, datas[Task_ID], $A5)</f>
        <v>4</v>
      </c>
      <c r="I5" s="7">
        <f>COUNTIFS(datas[Completato], I$3, datas[Versione], $B$2, datas[Task_ID], $A5)</f>
        <v>0</v>
      </c>
      <c r="J5" s="9">
        <f>AVERAGEIFS(datas[Tempo_s],datas[Versione], $J$2, datas[Task_ID], $A5)</f>
        <v>91.66666667</v>
      </c>
      <c r="K5" s="9">
        <f>AVERAGEIFS(datas[Click],datas[Versione], $J$2, datas[Task_ID], $A5)</f>
        <v>10.33333333</v>
      </c>
      <c r="L5" s="10">
        <f>AVERAGEIFS(datas[Errori],datas[Versione], $J$2, datas[Task_ID], $A5)</f>
        <v>0.6666666667</v>
      </c>
      <c r="M5" s="10">
        <f>AVERAGEIFS(datas[Difficoltà],datas[Versione], $J$2, datas[Task_ID], $A5)</f>
        <v>1.333333333</v>
      </c>
      <c r="N5" s="10">
        <f>AVERAGEIFS(datas[Origine],datas[Versione], $J$2, datas[Task_ID], $A5)</f>
        <v>4.166666667</v>
      </c>
      <c r="O5" s="9">
        <f>COUNTIFS(datas[Completato], O$3, datas[Versione], $J$2, datas[Task_ID], $A5)</f>
        <v>10</v>
      </c>
      <c r="P5" s="9">
        <f>COUNTIFS(datas[Completato], P$3, datas[Versione], $J$2, datas[Task_ID], $A5)</f>
        <v>2</v>
      </c>
      <c r="Q5" s="9">
        <f>COUNTIFS(datas[Completato], Q$3, datas[Versione], $J$2, datas[Task_ID], $A5)</f>
        <v>0</v>
      </c>
    </row>
    <row r="6" ht="22.5" customHeight="1">
      <c r="A6" s="6">
        <v>3.0</v>
      </c>
      <c r="B6" s="7">
        <f>AVERAGEIFS(datas[Tempo_s],datas[Versione], $B$2, datas[Task_ID], $A6)</f>
        <v>79.66666667</v>
      </c>
      <c r="C6" s="7">
        <f>AVERAGEIFS(datas[Click],datas[Versione], $B$2, datas[Task_ID], $A6)</f>
        <v>8.25</v>
      </c>
      <c r="D6" s="8">
        <f>AVERAGEIFS(datas[Errori],datas[Versione], $B$2, datas[Task_ID], $A6)</f>
        <v>2.166666667</v>
      </c>
      <c r="E6" s="8">
        <f>AVERAGEIFS(datas[Difficoltà],datas[Versione], $B$2, datas[Task_ID], $A6)</f>
        <v>3.583333333</v>
      </c>
      <c r="F6" s="8">
        <f>AVERAGEIFS(datas[Origine],datas[Versione], $B$2, datas[Task_ID], $A6)</f>
        <v>1.333333333</v>
      </c>
      <c r="G6" s="7">
        <f>COUNTIFS(datas[Completato], G$3, datas[Versione], $B$2, datas[Task_ID], $A6)</f>
        <v>6</v>
      </c>
      <c r="H6" s="7">
        <f>COUNTIFS(datas[Completato], H$3, datas[Versione], $B$2, datas[Task_ID], $A6)</f>
        <v>5</v>
      </c>
      <c r="I6" s="7">
        <f>COUNTIFS(datas[Completato], I$3, datas[Versione], $B$2, datas[Task_ID], $A6)</f>
        <v>1</v>
      </c>
      <c r="J6" s="9">
        <f>AVERAGEIFS(datas[Tempo_s],datas[Versione], $J$2, datas[Task_ID], $A6)</f>
        <v>58.33333333</v>
      </c>
      <c r="K6" s="9">
        <f>AVERAGEIFS(datas[Click],datas[Versione], $J$2, datas[Task_ID], $A6)</f>
        <v>4.666666667</v>
      </c>
      <c r="L6" s="10">
        <f>AVERAGEIFS(datas[Errori],datas[Versione], $J$2, datas[Task_ID], $A6)</f>
        <v>1.583333333</v>
      </c>
      <c r="M6" s="10">
        <f>AVERAGEIFS(datas[Difficoltà],datas[Versione], $J$2, datas[Task_ID], $A6)</f>
        <v>2.666666667</v>
      </c>
      <c r="N6" s="10">
        <f>AVERAGEIFS(datas[Origine],datas[Versione], $J$2, datas[Task_ID], $A6)</f>
        <v>2.166666667</v>
      </c>
      <c r="O6" s="9">
        <f>COUNTIFS(datas[Completato], O$3, datas[Versione], $J$2, datas[Task_ID], $A6)</f>
        <v>8</v>
      </c>
      <c r="P6" s="9">
        <f>COUNTIFS(datas[Completato], P$3, datas[Versione], $J$2, datas[Task_ID], $A6)</f>
        <v>4</v>
      </c>
      <c r="Q6" s="9">
        <f>COUNTIFS(datas[Completato], Q$3, datas[Versione], $J$2, datas[Task_ID], $A6)</f>
        <v>0</v>
      </c>
    </row>
    <row r="7" ht="22.5" customHeight="1">
      <c r="A7" s="6">
        <v>4.0</v>
      </c>
      <c r="B7" s="7">
        <f>AVERAGEIFS(datas[Tempo_s],datas[Versione], $B$2, datas[Task_ID], $A7)</f>
        <v>20.08333333</v>
      </c>
      <c r="C7" s="7">
        <f>AVERAGEIFS(datas[Click],datas[Versione], $B$2, datas[Task_ID], $A7)</f>
        <v>2.916666667</v>
      </c>
      <c r="D7" s="8">
        <f>AVERAGEIFS(datas[Errori],datas[Versione], $B$2, datas[Task_ID], $A7)</f>
        <v>0.75</v>
      </c>
      <c r="E7" s="8">
        <f>AVERAGEIFS(datas[Difficoltà],datas[Versione], $B$2, datas[Task_ID], $A7)</f>
        <v>1.333333333</v>
      </c>
      <c r="F7" s="8">
        <f>AVERAGEIFS(datas[Origine],datas[Versione], $B$2, datas[Task_ID], $A7)</f>
        <v>2.166666667</v>
      </c>
      <c r="G7" s="7">
        <f>COUNTIFS(datas[Completato], G$3, datas[Versione], $B$2, datas[Task_ID], $A7)</f>
        <v>10</v>
      </c>
      <c r="H7" s="7">
        <f>COUNTIFS(datas[Completato], H$3, datas[Versione], $B$2, datas[Task_ID], $A7)</f>
        <v>2</v>
      </c>
      <c r="I7" s="7">
        <f>COUNTIFS(datas[Completato], I$3, datas[Versione], $B$2, datas[Task_ID], $A7)</f>
        <v>0</v>
      </c>
      <c r="J7" s="9">
        <f>AVERAGEIFS(datas[Tempo_s],datas[Versione], $J$2, datas[Task_ID], $A7)</f>
        <v>18.08333333</v>
      </c>
      <c r="K7" s="9">
        <f>AVERAGEIFS(datas[Click],datas[Versione], $J$2, datas[Task_ID], $A7)</f>
        <v>2.916666667</v>
      </c>
      <c r="L7" s="10">
        <f>AVERAGEIFS(datas[Errori],datas[Versione], $J$2, datas[Task_ID], $A7)</f>
        <v>0.6666666667</v>
      </c>
      <c r="M7" s="10">
        <f>AVERAGEIFS(datas[Difficoltà],datas[Versione], $J$2, datas[Task_ID], $A7)</f>
        <v>1.083333333</v>
      </c>
      <c r="N7" s="10">
        <f>AVERAGEIFS(datas[Origine],datas[Versione], $J$2, datas[Task_ID], $A7)</f>
        <v>4.75</v>
      </c>
      <c r="O7" s="9">
        <f>COUNTIFS(datas[Completato], O$3, datas[Versione], $J$2, datas[Task_ID], $A7)</f>
        <v>11</v>
      </c>
      <c r="P7" s="9">
        <f>COUNTIFS(datas[Completato], P$3, datas[Versione], $J$2, datas[Task_ID], $A7)</f>
        <v>1</v>
      </c>
      <c r="Q7" s="9">
        <f>COUNTIFS(datas[Completato], Q$3, datas[Versione], $J$2, datas[Task_ID], $A7)</f>
        <v>0</v>
      </c>
    </row>
    <row r="8" ht="22.5" customHeight="1">
      <c r="A8" s="6">
        <v>5.0</v>
      </c>
      <c r="B8" s="7">
        <f>AVERAGEIFS(datas[Tempo_s],datas[Versione], $B$2, datas[Task_ID], $A8)</f>
        <v>17.25</v>
      </c>
      <c r="C8" s="7">
        <f>AVERAGEIFS(datas[Click],datas[Versione], $B$2, datas[Task_ID], $A8)</f>
        <v>4.916666667</v>
      </c>
      <c r="D8" s="8">
        <f>AVERAGEIFS(datas[Errori],datas[Versione], $B$2, datas[Task_ID], $A8)</f>
        <v>0.1666666667</v>
      </c>
      <c r="E8" s="8">
        <f>AVERAGEIFS(datas[Difficoltà],datas[Versione], $B$2, datas[Task_ID], $A8)</f>
        <v>1.416666667</v>
      </c>
      <c r="F8" s="8">
        <f>AVERAGEIFS(datas[Origine],datas[Versione], $B$2, datas[Task_ID], $A8)</f>
        <v>3.083333333</v>
      </c>
      <c r="G8" s="7">
        <f>COUNTIFS(datas[Completato], G$3, datas[Versione], $B$2, datas[Task_ID], $A8)</f>
        <v>10</v>
      </c>
      <c r="H8" s="7">
        <f>COUNTIFS(datas[Completato], H$3, datas[Versione], $B$2, datas[Task_ID], $A8)</f>
        <v>2</v>
      </c>
      <c r="I8" s="7">
        <f>COUNTIFS(datas[Completato], I$3, datas[Versione], $B$2, datas[Task_ID], $A8)</f>
        <v>0</v>
      </c>
      <c r="J8" s="9">
        <f>AVERAGEIFS(datas[Tempo_s],datas[Versione], $J$2, datas[Task_ID], $A8)</f>
        <v>18.91666667</v>
      </c>
      <c r="K8" s="9">
        <f>AVERAGEIFS(datas[Click],datas[Versione], $J$2, datas[Task_ID], $A8)</f>
        <v>3.666666667</v>
      </c>
      <c r="L8" s="10">
        <f>AVERAGEIFS(datas[Errori],datas[Versione], $J$2, datas[Task_ID], $A8)</f>
        <v>0.4166666667</v>
      </c>
      <c r="M8" s="10">
        <f>AVERAGEIFS(datas[Difficoltà],datas[Versione], $J$2, datas[Task_ID], $A8)</f>
        <v>1.5</v>
      </c>
      <c r="N8" s="10">
        <f>AVERAGEIFS(datas[Origine],datas[Versione], $J$2, datas[Task_ID], $A8)</f>
        <v>3.75</v>
      </c>
      <c r="O8" s="9">
        <f>COUNTIFS(datas[Completato], O$3, datas[Versione], $J$2, datas[Task_ID], $A8)</f>
        <v>11</v>
      </c>
      <c r="P8" s="9">
        <f>COUNTIFS(datas[Completato], P$3, datas[Versione], $J$2, datas[Task_ID], $A8)</f>
        <v>1</v>
      </c>
      <c r="Q8" s="9">
        <f>COUNTIFS(datas[Completato], Q$3, datas[Versione], $J$2, datas[Task_ID], $A8)</f>
        <v>0</v>
      </c>
    </row>
    <row r="9" ht="22.5" customHeight="1">
      <c r="A9" s="6">
        <v>6.0</v>
      </c>
      <c r="B9" s="7">
        <f>AVERAGEIFS(datas[Tempo_s],datas[Versione], $B$2, datas[Task_ID], $A9)</f>
        <v>44.91666667</v>
      </c>
      <c r="C9" s="7">
        <f>AVERAGEIFS(datas[Click],datas[Versione], $B$2, datas[Task_ID], $A9)</f>
        <v>9.666666667</v>
      </c>
      <c r="D9" s="8">
        <f>AVERAGEIFS(datas[Errori],datas[Versione], $B$2, datas[Task_ID], $A9)</f>
        <v>0.3333333333</v>
      </c>
      <c r="E9" s="8">
        <f>AVERAGEIFS(datas[Difficoltà],datas[Versione], $B$2, datas[Task_ID], $A9)</f>
        <v>1.5</v>
      </c>
      <c r="F9" s="8">
        <f>AVERAGEIFS(datas[Origine],datas[Versione], $B$2, datas[Task_ID], $A9)</f>
        <v>1.5</v>
      </c>
      <c r="G9" s="7">
        <f>COUNTIFS(datas[Completato], G$3, datas[Versione], $B$2, datas[Task_ID], $A9)</f>
        <v>12</v>
      </c>
      <c r="H9" s="7">
        <f>COUNTIFS(datas[Completato], H$3, datas[Versione], $B$2, datas[Task_ID], $A9)</f>
        <v>0</v>
      </c>
      <c r="I9" s="7">
        <f>COUNTIFS(datas[Completato], I$3, datas[Versione], $B$2, datas[Task_ID], $A9)</f>
        <v>0</v>
      </c>
      <c r="J9" s="9">
        <f>AVERAGEIFS(datas[Tempo_s],datas[Versione], $J$2, datas[Task_ID], $A9)</f>
        <v>44</v>
      </c>
      <c r="K9" s="9">
        <f>AVERAGEIFS(datas[Click],datas[Versione], $J$2, datas[Task_ID], $A9)</f>
        <v>8.916666667</v>
      </c>
      <c r="L9" s="10">
        <f>AVERAGEIFS(datas[Errori],datas[Versione], $J$2, datas[Task_ID], $A9)</f>
        <v>0.1666666667</v>
      </c>
      <c r="M9" s="10">
        <f>AVERAGEIFS(datas[Difficoltà],datas[Versione], $J$2, datas[Task_ID], $A9)</f>
        <v>1.416666667</v>
      </c>
      <c r="N9" s="10">
        <f>AVERAGEIFS(datas[Origine],datas[Versione], $J$2, datas[Task_ID], $A9)</f>
        <v>4.5</v>
      </c>
      <c r="O9" s="9">
        <f>COUNTIFS(datas[Completato], O$3, datas[Versione], $J$2, datas[Task_ID], $A9)</f>
        <v>12</v>
      </c>
      <c r="P9" s="9">
        <f>COUNTIFS(datas[Completato], P$3, datas[Versione], $J$2, datas[Task_ID], $A9)</f>
        <v>0</v>
      </c>
      <c r="Q9" s="9">
        <f>COUNTIFS(datas[Completato], Q$3, datas[Versione], $J$2, datas[Task_ID], $A9)</f>
        <v>0</v>
      </c>
    </row>
    <row r="10" ht="22.5" customHeight="1">
      <c r="A10" s="6">
        <v>7.0</v>
      </c>
      <c r="B10" s="7">
        <f>AVERAGEIFS(datas[Tempo_s],datas[Versione], $B$2, datas[Task_ID], $A10)</f>
        <v>77.5</v>
      </c>
      <c r="C10" s="7">
        <f>AVERAGEIFS(datas[Click],datas[Versione], $B$2, datas[Task_ID], $A10)</f>
        <v>9.916666667</v>
      </c>
      <c r="D10" s="8">
        <f>AVERAGEIFS(datas[Errori],datas[Versione], $B$2, datas[Task_ID], $A10)</f>
        <v>2.333333333</v>
      </c>
      <c r="E10" s="8">
        <f>AVERAGEIFS(datas[Difficoltà],datas[Versione], $B$2, datas[Task_ID], $A10)</f>
        <v>3.75</v>
      </c>
      <c r="F10" s="8">
        <f>AVERAGEIFS(datas[Origine],datas[Versione], $B$2, datas[Task_ID], $A10)</f>
        <v>1.583333333</v>
      </c>
      <c r="G10" s="7">
        <f>COUNTIFS(datas[Completato], G$3, datas[Versione], $B$2, datas[Task_ID], $A10)</f>
        <v>5</v>
      </c>
      <c r="H10" s="7">
        <f>COUNTIFS(datas[Completato], H$3, datas[Versione], $B$2, datas[Task_ID], $A10)</f>
        <v>4</v>
      </c>
      <c r="I10" s="7">
        <f>COUNTIFS(datas[Completato], I$3, datas[Versione], $B$2, datas[Task_ID], $A10)</f>
        <v>3</v>
      </c>
      <c r="J10" s="9">
        <f>AVERAGEIFS(datas[Tempo_s],datas[Versione], $J$2, datas[Task_ID], $A10)</f>
        <v>74.91666667</v>
      </c>
      <c r="K10" s="9">
        <f>AVERAGEIFS(datas[Click],datas[Versione], $J$2, datas[Task_ID], $A10)</f>
        <v>9.416666667</v>
      </c>
      <c r="L10" s="10">
        <f>AVERAGEIFS(datas[Errori],datas[Versione], $J$2, datas[Task_ID], $A10)</f>
        <v>2.083333333</v>
      </c>
      <c r="M10" s="10">
        <f>AVERAGEIFS(datas[Difficoltà],datas[Versione], $J$2, datas[Task_ID], $A10)</f>
        <v>3.5</v>
      </c>
      <c r="N10" s="10">
        <f>AVERAGEIFS(datas[Origine],datas[Versione], $J$2, datas[Task_ID], $A10)</f>
        <v>1.916666667</v>
      </c>
      <c r="O10" s="9">
        <f>COUNTIFS(datas[Completato], O$3, datas[Versione], $J$2, datas[Task_ID], $A10)</f>
        <v>5</v>
      </c>
      <c r="P10" s="9">
        <f>COUNTIFS(datas[Completato], P$3, datas[Versione], $J$2, datas[Task_ID], $A10)</f>
        <v>5</v>
      </c>
      <c r="Q10" s="9">
        <f>COUNTIFS(datas[Completato], Q$3, datas[Versione], $J$2, datas[Task_ID], $A10)</f>
        <v>2</v>
      </c>
    </row>
    <row r="11" ht="22.5" customHeight="1">
      <c r="A11" s="6">
        <v>8.0</v>
      </c>
      <c r="B11" s="7">
        <f>AVERAGEIFS(datas[Tempo_s],datas[Versione], $B$2, datas[Task_ID], $A11)</f>
        <v>39.75</v>
      </c>
      <c r="C11" s="7">
        <f>AVERAGEIFS(datas[Click],datas[Versione], $B$2, datas[Task_ID], $A11)</f>
        <v>8.333333333</v>
      </c>
      <c r="D11" s="8">
        <f>AVERAGEIFS(datas[Errori],datas[Versione], $B$2, datas[Task_ID], $A11)</f>
        <v>0.08333333333</v>
      </c>
      <c r="E11" s="8">
        <f>AVERAGEIFS(datas[Difficoltà],datas[Versione], $B$2, datas[Task_ID], $A11)</f>
        <v>1.166666667</v>
      </c>
      <c r="F11" s="8">
        <f>AVERAGEIFS(datas[Origine],datas[Versione], $B$2, datas[Task_ID], $A11)</f>
        <v>4.5</v>
      </c>
      <c r="G11" s="7">
        <f>COUNTIFS(datas[Completato], G$3, datas[Versione], $B$2, datas[Task_ID], $A11)</f>
        <v>11</v>
      </c>
      <c r="H11" s="7">
        <f>COUNTIFS(datas[Completato], H$3, datas[Versione], $B$2, datas[Task_ID], $A11)</f>
        <v>1</v>
      </c>
      <c r="I11" s="7">
        <f>COUNTIFS(datas[Completato], I$3, datas[Versione], $B$2, datas[Task_ID], $A11)</f>
        <v>0</v>
      </c>
      <c r="J11" s="9">
        <f>AVERAGEIFS(datas[Tempo_s],datas[Versione], $J$2, datas[Task_ID], $A11)</f>
        <v>38.91666667</v>
      </c>
      <c r="K11" s="9">
        <f>AVERAGEIFS(datas[Click],datas[Versione], $J$2, datas[Task_ID], $A11)</f>
        <v>7.166666667</v>
      </c>
      <c r="L11" s="10">
        <f>AVERAGEIFS(datas[Errori],datas[Versione], $J$2, datas[Task_ID], $A11)</f>
        <v>0.08333333333</v>
      </c>
      <c r="M11" s="10">
        <f>AVERAGEIFS(datas[Difficoltà],datas[Versione], $J$2, datas[Task_ID], $A11)</f>
        <v>1.083333333</v>
      </c>
      <c r="N11" s="10">
        <f>AVERAGEIFS(datas[Origine],datas[Versione], $J$2, datas[Task_ID], $A11)</f>
        <v>4.75</v>
      </c>
      <c r="O11" s="9">
        <f>COUNTIFS(datas[Completato], O$3, datas[Versione], $J$2, datas[Task_ID], $A11)</f>
        <v>11</v>
      </c>
      <c r="P11" s="9">
        <f>COUNTIFS(datas[Completato], P$3, datas[Versione], $J$2, datas[Task_ID], $A11)</f>
        <v>1</v>
      </c>
      <c r="Q11" s="9">
        <f>COUNTIFS(datas[Completato], Q$3, datas[Versione], $J$2, datas[Task_ID], $A11)</f>
        <v>0</v>
      </c>
    </row>
    <row r="12" ht="22.5" customHeight="1">
      <c r="A12" s="6">
        <v>9.0</v>
      </c>
      <c r="B12" s="7">
        <f>AVERAGEIFS(datas[Tempo_s],datas[Versione], $B$2, datas[Task_ID], $A12)</f>
        <v>113</v>
      </c>
      <c r="C12" s="7">
        <f>AVERAGEIFS(datas[Click],datas[Versione], $B$2, datas[Task_ID], $A12)</f>
        <v>18.66666667</v>
      </c>
      <c r="D12" s="8">
        <f>AVERAGEIFS(datas[Errori],datas[Versione], $B$2, datas[Task_ID], $A12)</f>
        <v>7.75</v>
      </c>
      <c r="E12" s="8">
        <f>AVERAGEIFS(datas[Difficoltà],datas[Versione], $B$2, datas[Task_ID], $A12)</f>
        <v>4.166666667</v>
      </c>
      <c r="F12" s="8">
        <f>AVERAGEIFS(datas[Origine],datas[Versione], $B$2, datas[Task_ID], $A12)</f>
        <v>1.416666667</v>
      </c>
      <c r="G12" s="7">
        <f>COUNTIFS(datas[Completato], G$3, datas[Versione], $B$2, datas[Task_ID], $A12)</f>
        <v>4</v>
      </c>
      <c r="H12" s="7">
        <f>COUNTIFS(datas[Completato], H$3, datas[Versione], $B$2, datas[Task_ID], $A12)</f>
        <v>5</v>
      </c>
      <c r="I12" s="7">
        <f>COUNTIFS(datas[Completato], I$3, datas[Versione], $B$2, datas[Task_ID], $A12)</f>
        <v>3</v>
      </c>
      <c r="J12" s="9">
        <f>AVERAGEIFS(datas[Tempo_s],datas[Versione], $J$2, datas[Task_ID], $A12)</f>
        <v>103.6666667</v>
      </c>
      <c r="K12" s="9">
        <f>AVERAGEIFS(datas[Click],datas[Versione], $J$2, datas[Task_ID], $A12)</f>
        <v>17.25</v>
      </c>
      <c r="L12" s="10">
        <f>AVERAGEIFS(datas[Errori],datas[Versione], $J$2, datas[Task_ID], $A12)</f>
        <v>6.666666667</v>
      </c>
      <c r="M12" s="10">
        <f>AVERAGEIFS(datas[Difficoltà],datas[Versione], $J$2, datas[Task_ID], $A12)</f>
        <v>3.916666667</v>
      </c>
      <c r="N12" s="10">
        <f>AVERAGEIFS(datas[Origine],datas[Versione], $J$2, datas[Task_ID], $A12)</f>
        <v>1.583333333</v>
      </c>
      <c r="O12" s="9">
        <f>COUNTIFS(datas[Completato], O$3, datas[Versione], $J$2, datas[Task_ID], $A12)</f>
        <v>4</v>
      </c>
      <c r="P12" s="9">
        <f>COUNTIFS(datas[Completato], P$3, datas[Versione], $J$2, datas[Task_ID], $A12)</f>
        <v>6</v>
      </c>
      <c r="Q12" s="9">
        <f>COUNTIFS(datas[Completato], Q$3, datas[Versione], $J$2, datas[Task_ID], $A12)</f>
        <v>2</v>
      </c>
    </row>
    <row r="13" ht="22.5" customHeight="1">
      <c r="A13" s="6">
        <v>10.0</v>
      </c>
      <c r="B13" s="7">
        <f>AVERAGEIFS(datas[Tempo_s],datas[Versione], $B$2, datas[Task_ID], $A13)</f>
        <v>84.91666667</v>
      </c>
      <c r="C13" s="7">
        <f>AVERAGEIFS(datas[Click],datas[Versione], $B$2, datas[Task_ID], $A13)</f>
        <v>7.166666667</v>
      </c>
      <c r="D13" s="8">
        <f>AVERAGEIFS(datas[Errori],datas[Versione], $B$2, datas[Task_ID], $A13)</f>
        <v>3.666666667</v>
      </c>
      <c r="E13" s="8">
        <f>AVERAGEIFS(datas[Difficoltà],datas[Versione], $B$2, datas[Task_ID], $A13)</f>
        <v>4.083333333</v>
      </c>
      <c r="F13" s="8">
        <f>AVERAGEIFS(datas[Origine],datas[Versione], $B$2, datas[Task_ID], $A13)</f>
        <v>1.75</v>
      </c>
      <c r="G13" s="7">
        <f>COUNTIFS(datas[Completato], G$3, datas[Versione], $B$2, datas[Task_ID], $A13)</f>
        <v>4</v>
      </c>
      <c r="H13" s="7">
        <f>COUNTIFS(datas[Completato], H$3, datas[Versione], $B$2, datas[Task_ID], $A13)</f>
        <v>7</v>
      </c>
      <c r="I13" s="7">
        <f>COUNTIFS(datas[Completato], I$3, datas[Versione], $B$2, datas[Task_ID], $A13)</f>
        <v>1</v>
      </c>
      <c r="J13" s="9">
        <f>AVERAGEIFS(datas[Tempo_s],datas[Versione], $J$2, datas[Task_ID], $A13)</f>
        <v>77.08333333</v>
      </c>
      <c r="K13" s="9">
        <f>AVERAGEIFS(datas[Click],datas[Versione], $J$2, datas[Task_ID], $A13)</f>
        <v>5.5</v>
      </c>
      <c r="L13" s="10">
        <f>AVERAGEIFS(datas[Errori],datas[Versione], $J$2, datas[Task_ID], $A13)</f>
        <v>3.416666667</v>
      </c>
      <c r="M13" s="10">
        <f>AVERAGEIFS(datas[Difficoltà],datas[Versione], $J$2, datas[Task_ID], $A13)</f>
        <v>3.75</v>
      </c>
      <c r="N13" s="10">
        <f>AVERAGEIFS(datas[Origine],datas[Versione], $J$2, datas[Task_ID], $A13)</f>
        <v>4.166666667</v>
      </c>
      <c r="O13" s="9">
        <f>COUNTIFS(datas[Completato], O$3, datas[Versione], $J$2, datas[Task_ID], $A13)</f>
        <v>5</v>
      </c>
      <c r="P13" s="9">
        <f>COUNTIFS(datas[Completato], P$3, datas[Versione], $J$2, datas[Task_ID], $A13)</f>
        <v>6</v>
      </c>
      <c r="Q13" s="9">
        <f>COUNTIFS(datas[Completato], Q$3, datas[Versione], $J$2, datas[Task_ID], $A13)</f>
        <v>1</v>
      </c>
    </row>
    <row r="14" ht="22.5" customHeight="1">
      <c r="A14" s="11">
        <v>11.0</v>
      </c>
      <c r="B14" s="12">
        <f>AVERAGEIFS(datas[Tempo_s],datas[Versione], $B$2, datas[Task_ID], $A14)</f>
        <v>50.33333333</v>
      </c>
      <c r="C14" s="12">
        <f>AVERAGEIFS(datas[Click],datas[Versione], $B$2, datas[Task_ID], $A14)</f>
        <v>4.916666667</v>
      </c>
      <c r="D14" s="13">
        <f>AVERAGEIFS(datas[Errori],datas[Versione], $B$2, datas[Task_ID], $A14)</f>
        <v>0.6666666667</v>
      </c>
      <c r="E14" s="13">
        <f>AVERAGEIFS(datas[Difficoltà],datas[Versione], $B$2, datas[Task_ID], $A14)</f>
        <v>1.166666667</v>
      </c>
      <c r="F14" s="13">
        <f>AVERAGEIFS(datas[Origine],datas[Versione], $B$2, datas[Task_ID], $A14)</f>
        <v>3.166666667</v>
      </c>
      <c r="G14" s="12">
        <f>COUNTIFS(datas[Completato], G$3, datas[Versione], $B$2, datas[Task_ID], $A14)</f>
        <v>9</v>
      </c>
      <c r="H14" s="12">
        <f>COUNTIFS(datas[Completato], H$3, datas[Versione], $B$2, datas[Task_ID], $A14)</f>
        <v>3</v>
      </c>
      <c r="I14" s="12">
        <f>COUNTIFS(datas[Completato], I$3, datas[Versione], $B$2, datas[Task_ID], $A14)</f>
        <v>0</v>
      </c>
      <c r="J14" s="14">
        <f>AVERAGEIFS(datas[Tempo_s],datas[Versione], $J$2, datas[Task_ID], $A14)</f>
        <v>46.08333333</v>
      </c>
      <c r="K14" s="14">
        <f>AVERAGEIFS(datas[Click],datas[Versione], $J$2, datas[Task_ID], $A14)</f>
        <v>4.166666667</v>
      </c>
      <c r="L14" s="15">
        <f>AVERAGEIFS(datas[Errori],datas[Versione], $J$2, datas[Task_ID], $A14)</f>
        <v>0.08333333333</v>
      </c>
      <c r="M14" s="15">
        <f>AVERAGEIFS(datas[Difficoltà],datas[Versione], $J$2, datas[Task_ID], $A14)</f>
        <v>1.083333333</v>
      </c>
      <c r="N14" s="15">
        <f>AVERAGEIFS(datas[Origine],datas[Versione], $J$2, datas[Task_ID], $A14)</f>
        <v>4.75</v>
      </c>
      <c r="O14" s="14">
        <f>COUNTIFS(datas[Completato], O$3, datas[Versione], $J$2, datas[Task_ID], $A14)</f>
        <v>9</v>
      </c>
      <c r="P14" s="14">
        <f>COUNTIFS(datas[Completato], P$3, datas[Versione], $J$2, datas[Task_ID], $A14)</f>
        <v>3</v>
      </c>
      <c r="Q14" s="14">
        <f>COUNTIFS(datas[Completato], Q$3, datas[Versione], $J$2, datas[Task_ID], $A14)</f>
        <v>0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25"/>
    <col customWidth="1" min="2" max="2" width="14.25"/>
    <col customWidth="1" min="3" max="3" width="14.75"/>
    <col customWidth="1" min="4" max="4" width="17.75"/>
    <col customWidth="1" min="5" max="5" width="15.25"/>
    <col customWidth="1" min="6" max="6" width="17.25"/>
    <col customWidth="1" min="7" max="7" width="15.5"/>
    <col customWidth="1" min="9" max="9" width="12.88"/>
    <col customWidth="1" min="10" max="10" width="15.13"/>
    <col customWidth="1" min="11" max="11" width="14.13"/>
  </cols>
  <sheetData>
    <row r="1" ht="22.5" customHeight="1">
      <c r="A1" s="16" t="s">
        <v>26</v>
      </c>
      <c r="B1" s="16" t="s">
        <v>27</v>
      </c>
      <c r="C1" s="16" t="s">
        <v>28</v>
      </c>
      <c r="D1" s="16" t="s">
        <v>29</v>
      </c>
      <c r="E1" s="16" t="s">
        <v>30</v>
      </c>
      <c r="F1" s="16" t="s">
        <v>31</v>
      </c>
      <c r="G1" s="16" t="s">
        <v>18</v>
      </c>
      <c r="H1" s="16" t="s">
        <v>19</v>
      </c>
      <c r="I1" s="16" t="s">
        <v>20</v>
      </c>
      <c r="J1" s="16" t="s">
        <v>21</v>
      </c>
      <c r="K1" s="16" t="s">
        <v>22</v>
      </c>
    </row>
    <row r="2" ht="22.5" customHeight="1">
      <c r="A2" s="17">
        <v>1.0</v>
      </c>
      <c r="B2" s="18" t="s">
        <v>32</v>
      </c>
      <c r="C2" s="17">
        <v>1.0</v>
      </c>
      <c r="D2" s="17" t="s">
        <v>33</v>
      </c>
      <c r="E2" s="18" t="s">
        <v>1</v>
      </c>
      <c r="F2" s="18" t="s">
        <v>24</v>
      </c>
      <c r="G2" s="17">
        <v>52.0</v>
      </c>
      <c r="H2" s="17">
        <v>4.0</v>
      </c>
      <c r="I2" s="17">
        <v>3.0</v>
      </c>
      <c r="J2" s="17">
        <v>3.0</v>
      </c>
      <c r="K2" s="17">
        <v>3.0</v>
      </c>
    </row>
    <row r="3" ht="22.5" customHeight="1">
      <c r="A3" s="17">
        <v>2.0</v>
      </c>
      <c r="B3" s="18" t="s">
        <v>32</v>
      </c>
      <c r="C3" s="17">
        <v>1.0</v>
      </c>
      <c r="D3" s="17" t="s">
        <v>33</v>
      </c>
      <c r="E3" s="18" t="s">
        <v>1</v>
      </c>
      <c r="F3" s="18" t="s">
        <v>23</v>
      </c>
      <c r="G3" s="17">
        <v>41.0</v>
      </c>
      <c r="H3" s="17">
        <v>3.0</v>
      </c>
      <c r="I3" s="17">
        <v>1.0</v>
      </c>
      <c r="J3" s="17">
        <v>3.0</v>
      </c>
      <c r="K3" s="17">
        <v>2.0</v>
      </c>
    </row>
    <row r="4" ht="22.5" customHeight="1">
      <c r="A4" s="17">
        <v>3.0</v>
      </c>
      <c r="B4" s="18" t="s">
        <v>32</v>
      </c>
      <c r="C4" s="17">
        <v>1.0</v>
      </c>
      <c r="D4" s="17" t="s">
        <v>33</v>
      </c>
      <c r="E4" s="18" t="s">
        <v>1</v>
      </c>
      <c r="F4" s="18" t="s">
        <v>24</v>
      </c>
      <c r="G4" s="17">
        <v>43.0</v>
      </c>
      <c r="H4" s="17">
        <v>4.0</v>
      </c>
      <c r="I4" s="17">
        <v>1.0</v>
      </c>
      <c r="J4" s="17">
        <v>3.0</v>
      </c>
      <c r="K4" s="17">
        <v>2.0</v>
      </c>
    </row>
    <row r="5" ht="22.5" customHeight="1">
      <c r="A5" s="17">
        <v>4.0</v>
      </c>
      <c r="B5" s="18" t="s">
        <v>32</v>
      </c>
      <c r="C5" s="17">
        <v>1.0</v>
      </c>
      <c r="D5" s="17" t="s">
        <v>33</v>
      </c>
      <c r="E5" s="18" t="s">
        <v>1</v>
      </c>
      <c r="F5" s="18" t="s">
        <v>24</v>
      </c>
      <c r="G5" s="17">
        <v>52.0</v>
      </c>
      <c r="H5" s="17">
        <v>5.0</v>
      </c>
      <c r="I5" s="17">
        <v>4.0</v>
      </c>
      <c r="J5" s="17">
        <v>4.0</v>
      </c>
      <c r="K5" s="17">
        <v>3.0</v>
      </c>
    </row>
    <row r="6" ht="22.5" customHeight="1">
      <c r="A6" s="17">
        <v>5.0</v>
      </c>
      <c r="B6" s="18" t="s">
        <v>32</v>
      </c>
      <c r="C6" s="17">
        <v>1.0</v>
      </c>
      <c r="D6" s="17" t="s">
        <v>33</v>
      </c>
      <c r="E6" s="18" t="s">
        <v>1</v>
      </c>
      <c r="F6" s="18" t="s">
        <v>23</v>
      </c>
      <c r="G6" s="17">
        <v>40.0</v>
      </c>
      <c r="H6" s="17">
        <v>3.0</v>
      </c>
      <c r="I6" s="17">
        <v>1.0</v>
      </c>
      <c r="J6" s="17">
        <v>2.0</v>
      </c>
      <c r="K6" s="17">
        <v>2.0</v>
      </c>
    </row>
    <row r="7" ht="22.5" customHeight="1">
      <c r="A7" s="17">
        <v>6.0</v>
      </c>
      <c r="B7" s="18" t="s">
        <v>32</v>
      </c>
      <c r="C7" s="17">
        <v>1.0</v>
      </c>
      <c r="D7" s="17" t="s">
        <v>33</v>
      </c>
      <c r="E7" s="18" t="s">
        <v>1</v>
      </c>
      <c r="F7" s="18" t="s">
        <v>25</v>
      </c>
      <c r="G7" s="17">
        <v>52.0</v>
      </c>
      <c r="H7" s="17">
        <v>6.0</v>
      </c>
      <c r="I7" s="17">
        <v>5.0</v>
      </c>
      <c r="J7" s="17">
        <v>4.0</v>
      </c>
      <c r="K7" s="17">
        <v>3.0</v>
      </c>
    </row>
    <row r="8" ht="22.5" customHeight="1">
      <c r="A8" s="17">
        <v>7.0</v>
      </c>
      <c r="B8" s="18" t="s">
        <v>34</v>
      </c>
      <c r="C8" s="17">
        <v>1.0</v>
      </c>
      <c r="D8" s="17" t="s">
        <v>33</v>
      </c>
      <c r="E8" s="18" t="s">
        <v>1</v>
      </c>
      <c r="F8" s="18" t="s">
        <v>23</v>
      </c>
      <c r="G8" s="17">
        <v>32.0</v>
      </c>
      <c r="H8" s="17">
        <v>2.0</v>
      </c>
      <c r="I8" s="17">
        <v>0.0</v>
      </c>
      <c r="J8" s="17">
        <v>1.0</v>
      </c>
      <c r="K8" s="17">
        <v>1.0</v>
      </c>
    </row>
    <row r="9" ht="22.5" customHeight="1">
      <c r="A9" s="17">
        <v>8.0</v>
      </c>
      <c r="B9" s="18" t="s">
        <v>34</v>
      </c>
      <c r="C9" s="17">
        <v>1.0</v>
      </c>
      <c r="D9" s="17" t="s">
        <v>33</v>
      </c>
      <c r="E9" s="18" t="s">
        <v>1</v>
      </c>
      <c r="F9" s="18" t="s">
        <v>23</v>
      </c>
      <c r="G9" s="17">
        <v>37.0</v>
      </c>
      <c r="H9" s="17">
        <v>2.0</v>
      </c>
      <c r="I9" s="17">
        <v>1.0</v>
      </c>
      <c r="J9" s="17">
        <v>1.0</v>
      </c>
      <c r="K9" s="17">
        <v>2.0</v>
      </c>
    </row>
    <row r="10" ht="22.5" customHeight="1">
      <c r="A10" s="17">
        <v>9.0</v>
      </c>
      <c r="B10" s="18" t="s">
        <v>34</v>
      </c>
      <c r="C10" s="17">
        <v>1.0</v>
      </c>
      <c r="D10" s="17" t="s">
        <v>33</v>
      </c>
      <c r="E10" s="18" t="s">
        <v>1</v>
      </c>
      <c r="F10" s="18" t="s">
        <v>23</v>
      </c>
      <c r="G10" s="17">
        <v>40.0</v>
      </c>
      <c r="H10" s="17">
        <v>2.0</v>
      </c>
      <c r="I10" s="17">
        <v>1.0</v>
      </c>
      <c r="J10" s="17">
        <v>1.0</v>
      </c>
      <c r="K10" s="17">
        <v>2.0</v>
      </c>
    </row>
    <row r="11" ht="22.5" customHeight="1">
      <c r="A11" s="17">
        <v>10.0</v>
      </c>
      <c r="B11" s="18" t="s">
        <v>34</v>
      </c>
      <c r="C11" s="17">
        <v>1.0</v>
      </c>
      <c r="D11" s="17" t="s">
        <v>33</v>
      </c>
      <c r="E11" s="18" t="s">
        <v>1</v>
      </c>
      <c r="F11" s="18" t="s">
        <v>23</v>
      </c>
      <c r="G11" s="17">
        <v>30.0</v>
      </c>
      <c r="H11" s="17">
        <v>1.0</v>
      </c>
      <c r="I11" s="17">
        <v>0.0</v>
      </c>
      <c r="J11" s="17">
        <v>1.0</v>
      </c>
      <c r="K11" s="17">
        <v>1.0</v>
      </c>
    </row>
    <row r="12" ht="22.5" customHeight="1">
      <c r="A12" s="17">
        <v>11.0</v>
      </c>
      <c r="B12" s="18" t="s">
        <v>34</v>
      </c>
      <c r="C12" s="17">
        <v>1.0</v>
      </c>
      <c r="D12" s="17" t="s">
        <v>33</v>
      </c>
      <c r="E12" s="18" t="s">
        <v>1</v>
      </c>
      <c r="F12" s="18" t="s">
        <v>23</v>
      </c>
      <c r="G12" s="17">
        <v>31.0</v>
      </c>
      <c r="H12" s="17">
        <v>1.0</v>
      </c>
      <c r="I12" s="17">
        <v>0.0</v>
      </c>
      <c r="J12" s="17">
        <v>1.0</v>
      </c>
      <c r="K12" s="17">
        <v>1.0</v>
      </c>
    </row>
    <row r="13" ht="22.5" customHeight="1">
      <c r="A13" s="17">
        <v>12.0</v>
      </c>
      <c r="B13" s="18" t="s">
        <v>34</v>
      </c>
      <c r="C13" s="17">
        <v>1.0</v>
      </c>
      <c r="D13" s="17" t="s">
        <v>33</v>
      </c>
      <c r="E13" s="18" t="s">
        <v>1</v>
      </c>
      <c r="F13" s="18" t="s">
        <v>23</v>
      </c>
      <c r="G13" s="17">
        <v>41.0</v>
      </c>
      <c r="H13" s="17">
        <v>3.0</v>
      </c>
      <c r="I13" s="17">
        <v>1.0</v>
      </c>
      <c r="J13" s="17">
        <v>2.0</v>
      </c>
      <c r="K13" s="17">
        <v>2.0</v>
      </c>
    </row>
    <row r="14" ht="22.5" customHeight="1">
      <c r="A14" s="17">
        <v>1.0</v>
      </c>
      <c r="B14" s="18" t="s">
        <v>32</v>
      </c>
      <c r="C14" s="17">
        <v>1.0</v>
      </c>
      <c r="D14" s="17" t="s">
        <v>33</v>
      </c>
      <c r="E14" s="18" t="s">
        <v>9</v>
      </c>
      <c r="F14" s="18" t="s">
        <v>23</v>
      </c>
      <c r="G14" s="17">
        <v>24.0</v>
      </c>
      <c r="H14" s="17">
        <v>2.0</v>
      </c>
      <c r="I14" s="17">
        <v>0.0</v>
      </c>
      <c r="J14" s="17">
        <v>1.0</v>
      </c>
      <c r="K14" s="17">
        <v>3.0</v>
      </c>
    </row>
    <row r="15" ht="22.5" customHeight="1">
      <c r="A15" s="17">
        <v>2.0</v>
      </c>
      <c r="B15" s="18" t="s">
        <v>32</v>
      </c>
      <c r="C15" s="17">
        <v>1.0</v>
      </c>
      <c r="D15" s="17" t="s">
        <v>33</v>
      </c>
      <c r="E15" s="18" t="s">
        <v>9</v>
      </c>
      <c r="F15" s="18" t="s">
        <v>23</v>
      </c>
      <c r="G15" s="17">
        <v>22.0</v>
      </c>
      <c r="H15" s="17">
        <v>1.0</v>
      </c>
      <c r="I15" s="17">
        <v>0.0</v>
      </c>
      <c r="J15" s="17">
        <v>1.0</v>
      </c>
      <c r="K15" s="17">
        <v>3.0</v>
      </c>
    </row>
    <row r="16" ht="22.5" customHeight="1">
      <c r="A16" s="17">
        <v>3.0</v>
      </c>
      <c r="B16" s="18" t="s">
        <v>32</v>
      </c>
      <c r="C16" s="17">
        <v>1.0</v>
      </c>
      <c r="D16" s="17" t="s">
        <v>33</v>
      </c>
      <c r="E16" s="18" t="s">
        <v>9</v>
      </c>
      <c r="F16" s="18" t="s">
        <v>23</v>
      </c>
      <c r="G16" s="17">
        <v>23.0</v>
      </c>
      <c r="H16" s="17">
        <v>1.0</v>
      </c>
      <c r="I16" s="17">
        <v>0.0</v>
      </c>
      <c r="J16" s="17">
        <v>1.0</v>
      </c>
      <c r="K16" s="17">
        <v>3.0</v>
      </c>
    </row>
    <row r="17" ht="22.5" customHeight="1">
      <c r="A17" s="17">
        <v>4.0</v>
      </c>
      <c r="B17" s="18" t="s">
        <v>32</v>
      </c>
      <c r="C17" s="17">
        <v>1.0</v>
      </c>
      <c r="D17" s="17" t="s">
        <v>33</v>
      </c>
      <c r="E17" s="18" t="s">
        <v>9</v>
      </c>
      <c r="F17" s="18" t="s">
        <v>24</v>
      </c>
      <c r="G17" s="17">
        <v>29.0</v>
      </c>
      <c r="H17" s="17">
        <v>2.0</v>
      </c>
      <c r="I17" s="17">
        <v>0.0</v>
      </c>
      <c r="J17" s="17">
        <v>1.0</v>
      </c>
      <c r="K17" s="17">
        <v>4.0</v>
      </c>
    </row>
    <row r="18" ht="22.5" customHeight="1">
      <c r="A18" s="17">
        <v>5.0</v>
      </c>
      <c r="B18" s="18" t="s">
        <v>32</v>
      </c>
      <c r="C18" s="17">
        <v>1.0</v>
      </c>
      <c r="D18" s="17" t="s">
        <v>33</v>
      </c>
      <c r="E18" s="18" t="s">
        <v>9</v>
      </c>
      <c r="F18" s="18" t="s">
        <v>23</v>
      </c>
      <c r="G18" s="17">
        <v>21.0</v>
      </c>
      <c r="H18" s="17">
        <v>1.0</v>
      </c>
      <c r="I18" s="17">
        <v>0.0</v>
      </c>
      <c r="J18" s="17">
        <v>1.0</v>
      </c>
      <c r="K18" s="17">
        <v>2.0</v>
      </c>
    </row>
    <row r="19" ht="22.5" customHeight="1">
      <c r="A19" s="17">
        <v>6.0</v>
      </c>
      <c r="B19" s="18" t="s">
        <v>32</v>
      </c>
      <c r="C19" s="17">
        <v>1.0</v>
      </c>
      <c r="D19" s="17" t="s">
        <v>33</v>
      </c>
      <c r="E19" s="18" t="s">
        <v>9</v>
      </c>
      <c r="F19" s="18" t="s">
        <v>24</v>
      </c>
      <c r="G19" s="17">
        <v>29.0</v>
      </c>
      <c r="H19" s="17">
        <v>2.0</v>
      </c>
      <c r="I19" s="17">
        <v>1.0</v>
      </c>
      <c r="J19" s="17">
        <v>2.0</v>
      </c>
      <c r="K19" s="17">
        <v>4.0</v>
      </c>
    </row>
    <row r="20" ht="22.5" customHeight="1">
      <c r="A20" s="17">
        <v>7.0</v>
      </c>
      <c r="B20" s="18" t="s">
        <v>34</v>
      </c>
      <c r="C20" s="17">
        <v>1.0</v>
      </c>
      <c r="D20" s="17" t="s">
        <v>33</v>
      </c>
      <c r="E20" s="18" t="s">
        <v>9</v>
      </c>
      <c r="F20" s="18" t="s">
        <v>23</v>
      </c>
      <c r="G20" s="17">
        <v>19.0</v>
      </c>
      <c r="H20" s="17">
        <v>1.0</v>
      </c>
      <c r="I20" s="17">
        <v>0.0</v>
      </c>
      <c r="J20" s="17">
        <v>1.0</v>
      </c>
      <c r="K20" s="17">
        <v>2.0</v>
      </c>
    </row>
    <row r="21" ht="22.5" customHeight="1">
      <c r="A21" s="17">
        <v>8.0</v>
      </c>
      <c r="B21" s="18" t="s">
        <v>34</v>
      </c>
      <c r="C21" s="17">
        <v>1.0</v>
      </c>
      <c r="D21" s="17" t="s">
        <v>33</v>
      </c>
      <c r="E21" s="18" t="s">
        <v>9</v>
      </c>
      <c r="F21" s="18" t="s">
        <v>23</v>
      </c>
      <c r="G21" s="17">
        <v>20.0</v>
      </c>
      <c r="H21" s="17">
        <v>1.0</v>
      </c>
      <c r="I21" s="17">
        <v>0.0</v>
      </c>
      <c r="J21" s="17">
        <v>1.0</v>
      </c>
      <c r="K21" s="17">
        <v>2.0</v>
      </c>
    </row>
    <row r="22" ht="22.5" customHeight="1">
      <c r="A22" s="17">
        <v>9.0</v>
      </c>
      <c r="B22" s="18" t="s">
        <v>34</v>
      </c>
      <c r="C22" s="17">
        <v>1.0</v>
      </c>
      <c r="D22" s="17" t="s">
        <v>33</v>
      </c>
      <c r="E22" s="18" t="s">
        <v>9</v>
      </c>
      <c r="F22" s="18" t="s">
        <v>23</v>
      </c>
      <c r="G22" s="17">
        <v>20.0</v>
      </c>
      <c r="H22" s="17">
        <v>1.0</v>
      </c>
      <c r="I22" s="17">
        <v>0.0</v>
      </c>
      <c r="J22" s="17">
        <v>1.0</v>
      </c>
      <c r="K22" s="17">
        <v>2.0</v>
      </c>
    </row>
    <row r="23" ht="22.5" customHeight="1">
      <c r="A23" s="17">
        <v>10.0</v>
      </c>
      <c r="B23" s="18" t="s">
        <v>34</v>
      </c>
      <c r="C23" s="17">
        <v>1.0</v>
      </c>
      <c r="D23" s="17" t="s">
        <v>33</v>
      </c>
      <c r="E23" s="18" t="s">
        <v>9</v>
      </c>
      <c r="F23" s="18" t="s">
        <v>23</v>
      </c>
      <c r="G23" s="17">
        <v>15.0</v>
      </c>
      <c r="H23" s="17">
        <v>1.0</v>
      </c>
      <c r="I23" s="17">
        <v>0.0</v>
      </c>
      <c r="J23" s="17">
        <v>1.0</v>
      </c>
      <c r="K23" s="17">
        <v>1.0</v>
      </c>
    </row>
    <row r="24" ht="22.5" customHeight="1">
      <c r="A24" s="17">
        <v>11.0</v>
      </c>
      <c r="B24" s="18" t="s">
        <v>34</v>
      </c>
      <c r="C24" s="17">
        <v>1.0</v>
      </c>
      <c r="D24" s="17" t="s">
        <v>33</v>
      </c>
      <c r="E24" s="18" t="s">
        <v>9</v>
      </c>
      <c r="F24" s="18" t="s">
        <v>23</v>
      </c>
      <c r="G24" s="17">
        <v>19.0</v>
      </c>
      <c r="H24" s="17">
        <v>1.0</v>
      </c>
      <c r="I24" s="17">
        <v>0.0</v>
      </c>
      <c r="J24" s="17">
        <v>1.0</v>
      </c>
      <c r="K24" s="17">
        <v>2.0</v>
      </c>
    </row>
    <row r="25" ht="22.5" customHeight="1">
      <c r="A25" s="17">
        <v>12.0</v>
      </c>
      <c r="B25" s="18" t="s">
        <v>34</v>
      </c>
      <c r="C25" s="17">
        <v>1.0</v>
      </c>
      <c r="D25" s="17" t="s">
        <v>33</v>
      </c>
      <c r="E25" s="18" t="s">
        <v>9</v>
      </c>
      <c r="F25" s="18" t="s">
        <v>23</v>
      </c>
      <c r="G25" s="17">
        <v>21.0</v>
      </c>
      <c r="H25" s="17">
        <v>1.0</v>
      </c>
      <c r="I25" s="17">
        <v>0.0</v>
      </c>
      <c r="J25" s="17">
        <v>1.0</v>
      </c>
      <c r="K25" s="17">
        <v>2.0</v>
      </c>
    </row>
    <row r="26" ht="22.5" customHeight="1">
      <c r="A26" s="17">
        <v>1.0</v>
      </c>
      <c r="B26" s="18" t="s">
        <v>32</v>
      </c>
      <c r="C26" s="17">
        <v>2.0</v>
      </c>
      <c r="D26" s="17" t="s">
        <v>35</v>
      </c>
      <c r="E26" s="18" t="s">
        <v>1</v>
      </c>
      <c r="F26" s="18" t="s">
        <v>24</v>
      </c>
      <c r="G26" s="17">
        <v>121.0</v>
      </c>
      <c r="H26" s="17">
        <v>17.0</v>
      </c>
      <c r="I26" s="17">
        <v>4.0</v>
      </c>
      <c r="J26" s="17">
        <v>3.0</v>
      </c>
      <c r="K26" s="17">
        <v>2.0</v>
      </c>
    </row>
    <row r="27" ht="22.5" customHeight="1">
      <c r="A27" s="17">
        <v>2.0</v>
      </c>
      <c r="B27" s="18" t="s">
        <v>32</v>
      </c>
      <c r="C27" s="17">
        <v>2.0</v>
      </c>
      <c r="D27" s="17" t="s">
        <v>35</v>
      </c>
      <c r="E27" s="18" t="s">
        <v>1</v>
      </c>
      <c r="F27" s="18" t="s">
        <v>23</v>
      </c>
      <c r="G27" s="17">
        <v>116.0</v>
      </c>
      <c r="H27" s="17">
        <v>14.0</v>
      </c>
      <c r="I27" s="17">
        <v>3.0</v>
      </c>
      <c r="J27" s="17">
        <v>2.0</v>
      </c>
      <c r="K27" s="17">
        <v>2.0</v>
      </c>
    </row>
    <row r="28" ht="22.5" customHeight="1">
      <c r="A28" s="17">
        <v>3.0</v>
      </c>
      <c r="B28" s="18" t="s">
        <v>32</v>
      </c>
      <c r="C28" s="17">
        <v>2.0</v>
      </c>
      <c r="D28" s="17" t="s">
        <v>35</v>
      </c>
      <c r="E28" s="18" t="s">
        <v>1</v>
      </c>
      <c r="F28" s="18" t="s">
        <v>24</v>
      </c>
      <c r="G28" s="17">
        <v>118.0</v>
      </c>
      <c r="H28" s="17">
        <v>15.0</v>
      </c>
      <c r="I28" s="17">
        <v>3.0</v>
      </c>
      <c r="J28" s="17">
        <v>2.0</v>
      </c>
      <c r="K28" s="17">
        <v>2.0</v>
      </c>
    </row>
    <row r="29" ht="22.5" customHeight="1">
      <c r="A29" s="17">
        <v>4.0</v>
      </c>
      <c r="B29" s="18" t="s">
        <v>32</v>
      </c>
      <c r="C29" s="17">
        <v>2.0</v>
      </c>
      <c r="D29" s="17" t="s">
        <v>35</v>
      </c>
      <c r="E29" s="18" t="s">
        <v>1</v>
      </c>
      <c r="F29" s="18" t="s">
        <v>24</v>
      </c>
      <c r="G29" s="17">
        <v>122.0</v>
      </c>
      <c r="H29" s="17">
        <v>18.0</v>
      </c>
      <c r="I29" s="17">
        <v>4.0</v>
      </c>
      <c r="J29" s="17">
        <v>3.0</v>
      </c>
      <c r="K29" s="17">
        <v>2.0</v>
      </c>
    </row>
    <row r="30" ht="22.5" customHeight="1">
      <c r="A30" s="17">
        <v>5.0</v>
      </c>
      <c r="B30" s="18" t="s">
        <v>32</v>
      </c>
      <c r="C30" s="17">
        <v>2.0</v>
      </c>
      <c r="D30" s="17" t="s">
        <v>35</v>
      </c>
      <c r="E30" s="18" t="s">
        <v>1</v>
      </c>
      <c r="F30" s="18" t="s">
        <v>23</v>
      </c>
      <c r="G30" s="17">
        <v>114.0</v>
      </c>
      <c r="H30" s="17">
        <v>12.0</v>
      </c>
      <c r="I30" s="17">
        <v>2.0</v>
      </c>
      <c r="J30" s="17">
        <v>2.0</v>
      </c>
      <c r="K30" s="17">
        <v>2.0</v>
      </c>
    </row>
    <row r="31" ht="22.5" customHeight="1">
      <c r="A31" s="17">
        <v>6.0</v>
      </c>
      <c r="B31" s="18" t="s">
        <v>32</v>
      </c>
      <c r="C31" s="17">
        <v>2.0</v>
      </c>
      <c r="D31" s="17" t="s">
        <v>35</v>
      </c>
      <c r="E31" s="18" t="s">
        <v>1</v>
      </c>
      <c r="F31" s="18" t="s">
        <v>24</v>
      </c>
      <c r="G31" s="17">
        <v>132.0</v>
      </c>
      <c r="H31" s="17">
        <v>18.0</v>
      </c>
      <c r="I31" s="17">
        <v>5.0</v>
      </c>
      <c r="J31" s="17">
        <v>3.0</v>
      </c>
      <c r="K31" s="17">
        <v>4.0</v>
      </c>
    </row>
    <row r="32" ht="22.5" customHeight="1">
      <c r="A32" s="17">
        <v>7.0</v>
      </c>
      <c r="B32" s="18" t="s">
        <v>34</v>
      </c>
      <c r="C32" s="17">
        <v>2.0</v>
      </c>
      <c r="D32" s="17" t="s">
        <v>35</v>
      </c>
      <c r="E32" s="18" t="s">
        <v>1</v>
      </c>
      <c r="F32" s="18" t="s">
        <v>23</v>
      </c>
      <c r="G32" s="17">
        <v>104.0</v>
      </c>
      <c r="H32" s="17">
        <v>9.0</v>
      </c>
      <c r="I32" s="17">
        <v>1.0</v>
      </c>
      <c r="J32" s="17">
        <v>1.0</v>
      </c>
      <c r="K32" s="17">
        <v>1.0</v>
      </c>
    </row>
    <row r="33" ht="22.5" customHeight="1">
      <c r="A33" s="17">
        <v>8.0</v>
      </c>
      <c r="B33" s="18" t="s">
        <v>34</v>
      </c>
      <c r="C33" s="17">
        <v>2.0</v>
      </c>
      <c r="D33" s="17" t="s">
        <v>35</v>
      </c>
      <c r="E33" s="18" t="s">
        <v>1</v>
      </c>
      <c r="F33" s="18" t="s">
        <v>23</v>
      </c>
      <c r="G33" s="17">
        <v>105.0</v>
      </c>
      <c r="H33" s="17">
        <v>10.0</v>
      </c>
      <c r="I33" s="17">
        <v>1.0</v>
      </c>
      <c r="J33" s="17">
        <v>1.0</v>
      </c>
      <c r="K33" s="17">
        <v>1.0</v>
      </c>
    </row>
    <row r="34" ht="22.5" customHeight="1">
      <c r="A34" s="17">
        <v>9.0</v>
      </c>
      <c r="B34" s="18" t="s">
        <v>34</v>
      </c>
      <c r="C34" s="17">
        <v>2.0</v>
      </c>
      <c r="D34" s="17" t="s">
        <v>35</v>
      </c>
      <c r="E34" s="18" t="s">
        <v>1</v>
      </c>
      <c r="F34" s="18" t="s">
        <v>23</v>
      </c>
      <c r="G34" s="17">
        <v>106.0</v>
      </c>
      <c r="H34" s="17">
        <v>11.0</v>
      </c>
      <c r="I34" s="17">
        <v>2.0</v>
      </c>
      <c r="J34" s="17">
        <v>2.0</v>
      </c>
      <c r="K34" s="17">
        <v>1.0</v>
      </c>
    </row>
    <row r="35" ht="22.5" customHeight="1">
      <c r="A35" s="17">
        <v>10.0</v>
      </c>
      <c r="B35" s="18" t="s">
        <v>34</v>
      </c>
      <c r="C35" s="17">
        <v>2.0</v>
      </c>
      <c r="D35" s="17" t="s">
        <v>35</v>
      </c>
      <c r="E35" s="18" t="s">
        <v>1</v>
      </c>
      <c r="F35" s="18" t="s">
        <v>23</v>
      </c>
      <c r="G35" s="17">
        <v>97.0</v>
      </c>
      <c r="H35" s="17">
        <v>8.0</v>
      </c>
      <c r="I35" s="17">
        <v>1.0</v>
      </c>
      <c r="J35" s="17">
        <v>1.0</v>
      </c>
      <c r="K35" s="17">
        <v>1.0</v>
      </c>
    </row>
    <row r="36" ht="22.5" customHeight="1">
      <c r="A36" s="17">
        <v>11.0</v>
      </c>
      <c r="B36" s="18" t="s">
        <v>34</v>
      </c>
      <c r="C36" s="17">
        <v>2.0</v>
      </c>
      <c r="D36" s="17" t="s">
        <v>35</v>
      </c>
      <c r="E36" s="18" t="s">
        <v>1</v>
      </c>
      <c r="F36" s="18" t="s">
        <v>23</v>
      </c>
      <c r="G36" s="17">
        <v>102.0</v>
      </c>
      <c r="H36" s="17">
        <v>8.0</v>
      </c>
      <c r="I36" s="17">
        <v>1.0</v>
      </c>
      <c r="J36" s="17">
        <v>1.0</v>
      </c>
      <c r="K36" s="17">
        <v>1.0</v>
      </c>
    </row>
    <row r="37" ht="22.5" customHeight="1">
      <c r="A37" s="17">
        <v>12.0</v>
      </c>
      <c r="B37" s="18" t="s">
        <v>34</v>
      </c>
      <c r="C37" s="17">
        <v>2.0</v>
      </c>
      <c r="D37" s="17" t="s">
        <v>35</v>
      </c>
      <c r="E37" s="18" t="s">
        <v>1</v>
      </c>
      <c r="F37" s="18" t="s">
        <v>23</v>
      </c>
      <c r="G37" s="17">
        <v>116.0</v>
      </c>
      <c r="H37" s="17">
        <v>13.0</v>
      </c>
      <c r="I37" s="17">
        <v>2.0</v>
      </c>
      <c r="J37" s="17">
        <v>2.0</v>
      </c>
      <c r="K37" s="17">
        <v>2.0</v>
      </c>
    </row>
    <row r="38" ht="22.5" customHeight="1">
      <c r="A38" s="17">
        <v>1.0</v>
      </c>
      <c r="B38" s="18" t="s">
        <v>32</v>
      </c>
      <c r="C38" s="17">
        <v>2.0</v>
      </c>
      <c r="D38" s="17" t="s">
        <v>35</v>
      </c>
      <c r="E38" s="18" t="s">
        <v>9</v>
      </c>
      <c r="F38" s="18" t="s">
        <v>23</v>
      </c>
      <c r="G38" s="17">
        <v>102.0</v>
      </c>
      <c r="H38" s="17">
        <v>12.0</v>
      </c>
      <c r="I38" s="17">
        <v>1.0</v>
      </c>
      <c r="J38" s="17">
        <v>2.0</v>
      </c>
      <c r="K38" s="17">
        <v>6.0</v>
      </c>
    </row>
    <row r="39" ht="22.5" customHeight="1">
      <c r="A39" s="17">
        <v>2.0</v>
      </c>
      <c r="B39" s="18" t="s">
        <v>32</v>
      </c>
      <c r="C39" s="17">
        <v>2.0</v>
      </c>
      <c r="D39" s="17" t="s">
        <v>35</v>
      </c>
      <c r="E39" s="18" t="s">
        <v>9</v>
      </c>
      <c r="F39" s="18" t="s">
        <v>23</v>
      </c>
      <c r="G39" s="17">
        <v>99.0</v>
      </c>
      <c r="H39" s="17">
        <v>12.0</v>
      </c>
      <c r="I39" s="17">
        <v>1.0</v>
      </c>
      <c r="J39" s="17">
        <v>1.0</v>
      </c>
      <c r="K39" s="17">
        <v>4.0</v>
      </c>
    </row>
    <row r="40" ht="22.5" customHeight="1">
      <c r="A40" s="17">
        <v>3.0</v>
      </c>
      <c r="B40" s="18" t="s">
        <v>32</v>
      </c>
      <c r="C40" s="17">
        <v>2.0</v>
      </c>
      <c r="D40" s="17" t="s">
        <v>35</v>
      </c>
      <c r="E40" s="18" t="s">
        <v>9</v>
      </c>
      <c r="F40" s="18" t="s">
        <v>23</v>
      </c>
      <c r="G40" s="17">
        <v>101.0</v>
      </c>
      <c r="H40" s="17">
        <v>12.0</v>
      </c>
      <c r="I40" s="17">
        <v>1.0</v>
      </c>
      <c r="J40" s="17">
        <v>2.0</v>
      </c>
      <c r="K40" s="17">
        <v>5.0</v>
      </c>
    </row>
    <row r="41" ht="22.5" customHeight="1">
      <c r="A41" s="17">
        <v>4.0</v>
      </c>
      <c r="B41" s="18" t="s">
        <v>32</v>
      </c>
      <c r="C41" s="17">
        <v>2.0</v>
      </c>
      <c r="D41" s="17" t="s">
        <v>35</v>
      </c>
      <c r="E41" s="18" t="s">
        <v>9</v>
      </c>
      <c r="F41" s="18" t="s">
        <v>24</v>
      </c>
      <c r="G41" s="17">
        <v>102.0</v>
      </c>
      <c r="H41" s="17">
        <v>12.0</v>
      </c>
      <c r="I41" s="17">
        <v>2.0</v>
      </c>
      <c r="J41" s="17">
        <v>2.0</v>
      </c>
      <c r="K41" s="17">
        <v>6.0</v>
      </c>
    </row>
    <row r="42" ht="22.5" customHeight="1">
      <c r="A42" s="17">
        <v>5.0</v>
      </c>
      <c r="B42" s="18" t="s">
        <v>32</v>
      </c>
      <c r="C42" s="17">
        <v>2.0</v>
      </c>
      <c r="D42" s="17" t="s">
        <v>35</v>
      </c>
      <c r="E42" s="18" t="s">
        <v>9</v>
      </c>
      <c r="F42" s="18" t="s">
        <v>23</v>
      </c>
      <c r="G42" s="17">
        <v>93.0</v>
      </c>
      <c r="H42" s="17">
        <v>11.0</v>
      </c>
      <c r="I42" s="17">
        <v>0.0</v>
      </c>
      <c r="J42" s="17">
        <v>1.0</v>
      </c>
      <c r="K42" s="17">
        <v>4.0</v>
      </c>
    </row>
    <row r="43" ht="22.5" customHeight="1">
      <c r="A43" s="17">
        <v>6.0</v>
      </c>
      <c r="B43" s="18" t="s">
        <v>32</v>
      </c>
      <c r="C43" s="17">
        <v>2.0</v>
      </c>
      <c r="D43" s="17" t="s">
        <v>35</v>
      </c>
      <c r="E43" s="18" t="s">
        <v>9</v>
      </c>
      <c r="F43" s="18" t="s">
        <v>24</v>
      </c>
      <c r="G43" s="17">
        <v>104.0</v>
      </c>
      <c r="H43" s="17">
        <v>14.0</v>
      </c>
      <c r="I43" s="17">
        <v>2.0</v>
      </c>
      <c r="J43" s="17">
        <v>2.0</v>
      </c>
      <c r="K43" s="17">
        <v>7.0</v>
      </c>
    </row>
    <row r="44" ht="22.5" customHeight="1">
      <c r="A44" s="17">
        <v>7.0</v>
      </c>
      <c r="B44" s="18" t="s">
        <v>34</v>
      </c>
      <c r="C44" s="17">
        <v>2.0</v>
      </c>
      <c r="D44" s="17" t="s">
        <v>35</v>
      </c>
      <c r="E44" s="18" t="s">
        <v>9</v>
      </c>
      <c r="F44" s="18" t="s">
        <v>23</v>
      </c>
      <c r="G44" s="17">
        <v>81.0</v>
      </c>
      <c r="H44" s="17">
        <v>9.0</v>
      </c>
      <c r="I44" s="17">
        <v>0.0</v>
      </c>
      <c r="J44" s="17">
        <v>1.0</v>
      </c>
      <c r="K44" s="17">
        <v>2.0</v>
      </c>
    </row>
    <row r="45" ht="22.5" customHeight="1">
      <c r="A45" s="17">
        <v>8.0</v>
      </c>
      <c r="B45" s="18" t="s">
        <v>34</v>
      </c>
      <c r="C45" s="17">
        <v>2.0</v>
      </c>
      <c r="D45" s="17" t="s">
        <v>35</v>
      </c>
      <c r="E45" s="18" t="s">
        <v>9</v>
      </c>
      <c r="F45" s="18" t="s">
        <v>23</v>
      </c>
      <c r="G45" s="17">
        <v>84.0</v>
      </c>
      <c r="H45" s="17">
        <v>9.0</v>
      </c>
      <c r="I45" s="17">
        <v>0.0</v>
      </c>
      <c r="J45" s="17">
        <v>1.0</v>
      </c>
      <c r="K45" s="17">
        <v>4.0</v>
      </c>
    </row>
    <row r="46" ht="22.5" customHeight="1">
      <c r="A46" s="17">
        <v>9.0</v>
      </c>
      <c r="B46" s="18" t="s">
        <v>34</v>
      </c>
      <c r="C46" s="17">
        <v>2.0</v>
      </c>
      <c r="D46" s="17" t="s">
        <v>35</v>
      </c>
      <c r="E46" s="18" t="s">
        <v>9</v>
      </c>
      <c r="F46" s="18" t="s">
        <v>23</v>
      </c>
      <c r="G46" s="17">
        <v>88.0</v>
      </c>
      <c r="H46" s="17">
        <v>9.0</v>
      </c>
      <c r="I46" s="17">
        <v>0.0</v>
      </c>
      <c r="J46" s="17">
        <v>1.0</v>
      </c>
      <c r="K46" s="17">
        <v>4.0</v>
      </c>
    </row>
    <row r="47" ht="22.5" customHeight="1">
      <c r="A47" s="17">
        <v>10.0</v>
      </c>
      <c r="B47" s="18" t="s">
        <v>34</v>
      </c>
      <c r="C47" s="17">
        <v>2.0</v>
      </c>
      <c r="D47" s="17" t="s">
        <v>35</v>
      </c>
      <c r="E47" s="18" t="s">
        <v>9</v>
      </c>
      <c r="F47" s="18" t="s">
        <v>23</v>
      </c>
      <c r="G47" s="17">
        <v>73.0</v>
      </c>
      <c r="H47" s="17">
        <v>6.0</v>
      </c>
      <c r="I47" s="17">
        <v>0.0</v>
      </c>
      <c r="J47" s="17">
        <v>1.0</v>
      </c>
      <c r="K47" s="17">
        <v>2.0</v>
      </c>
    </row>
    <row r="48" ht="22.5" customHeight="1">
      <c r="A48" s="17">
        <v>11.0</v>
      </c>
      <c r="B48" s="18" t="s">
        <v>34</v>
      </c>
      <c r="C48" s="17">
        <v>2.0</v>
      </c>
      <c r="D48" s="17" t="s">
        <v>35</v>
      </c>
      <c r="E48" s="18" t="s">
        <v>9</v>
      </c>
      <c r="F48" s="18" t="s">
        <v>23</v>
      </c>
      <c r="G48" s="17">
        <v>77.0</v>
      </c>
      <c r="H48" s="17">
        <v>7.0</v>
      </c>
      <c r="I48" s="17">
        <v>0.0</v>
      </c>
      <c r="J48" s="17">
        <v>1.0</v>
      </c>
      <c r="K48" s="17">
        <v>2.0</v>
      </c>
    </row>
    <row r="49" ht="22.5" customHeight="1">
      <c r="A49" s="17">
        <v>12.0</v>
      </c>
      <c r="B49" s="18" t="s">
        <v>34</v>
      </c>
      <c r="C49" s="17">
        <v>2.0</v>
      </c>
      <c r="D49" s="17" t="s">
        <v>35</v>
      </c>
      <c r="E49" s="18" t="s">
        <v>9</v>
      </c>
      <c r="F49" s="18" t="s">
        <v>23</v>
      </c>
      <c r="G49" s="17">
        <v>96.0</v>
      </c>
      <c r="H49" s="17">
        <v>11.0</v>
      </c>
      <c r="I49" s="17">
        <v>1.0</v>
      </c>
      <c r="J49" s="17">
        <v>1.0</v>
      </c>
      <c r="K49" s="17">
        <v>4.0</v>
      </c>
    </row>
    <row r="50" ht="22.5" customHeight="1">
      <c r="A50" s="17">
        <v>1.0</v>
      </c>
      <c r="B50" s="18" t="s">
        <v>32</v>
      </c>
      <c r="C50" s="17">
        <v>3.0</v>
      </c>
      <c r="D50" s="17" t="s">
        <v>36</v>
      </c>
      <c r="E50" s="18" t="s">
        <v>1</v>
      </c>
      <c r="F50" s="18" t="s">
        <v>24</v>
      </c>
      <c r="G50" s="17">
        <v>88.0</v>
      </c>
      <c r="H50" s="17">
        <v>12.0</v>
      </c>
      <c r="I50" s="17">
        <v>4.0</v>
      </c>
      <c r="J50" s="17">
        <v>5.0</v>
      </c>
      <c r="K50" s="17">
        <v>2.0</v>
      </c>
    </row>
    <row r="51" ht="22.5" customHeight="1">
      <c r="A51" s="17">
        <v>2.0</v>
      </c>
      <c r="B51" s="18" t="s">
        <v>32</v>
      </c>
      <c r="C51" s="17">
        <v>3.0</v>
      </c>
      <c r="D51" s="17" t="s">
        <v>36</v>
      </c>
      <c r="E51" s="18" t="s">
        <v>1</v>
      </c>
      <c r="F51" s="18" t="s">
        <v>24</v>
      </c>
      <c r="G51" s="17">
        <v>83.0</v>
      </c>
      <c r="H51" s="17">
        <v>9.0</v>
      </c>
      <c r="I51" s="17">
        <v>3.0</v>
      </c>
      <c r="J51" s="17">
        <v>5.0</v>
      </c>
      <c r="K51" s="17">
        <v>1.0</v>
      </c>
    </row>
    <row r="52" ht="22.5" customHeight="1">
      <c r="A52" s="17">
        <v>3.0</v>
      </c>
      <c r="B52" s="18" t="s">
        <v>32</v>
      </c>
      <c r="C52" s="17">
        <v>3.0</v>
      </c>
      <c r="D52" s="17" t="s">
        <v>36</v>
      </c>
      <c r="E52" s="18" t="s">
        <v>1</v>
      </c>
      <c r="F52" s="18" t="s">
        <v>24</v>
      </c>
      <c r="G52" s="17">
        <v>83.0</v>
      </c>
      <c r="H52" s="17">
        <v>11.0</v>
      </c>
      <c r="I52" s="17">
        <v>3.0</v>
      </c>
      <c r="J52" s="17">
        <v>5.0</v>
      </c>
      <c r="K52" s="17">
        <v>2.0</v>
      </c>
    </row>
    <row r="53" ht="22.5" customHeight="1">
      <c r="A53" s="17">
        <v>4.0</v>
      </c>
      <c r="B53" s="18" t="s">
        <v>32</v>
      </c>
      <c r="C53" s="17">
        <v>3.0</v>
      </c>
      <c r="D53" s="17" t="s">
        <v>36</v>
      </c>
      <c r="E53" s="18" t="s">
        <v>1</v>
      </c>
      <c r="F53" s="18" t="s">
        <v>24</v>
      </c>
      <c r="G53" s="17">
        <v>89.0</v>
      </c>
      <c r="H53" s="17">
        <v>12.0</v>
      </c>
      <c r="I53" s="17">
        <v>4.0</v>
      </c>
      <c r="J53" s="17">
        <v>5.0</v>
      </c>
      <c r="K53" s="17">
        <v>2.0</v>
      </c>
    </row>
    <row r="54" ht="22.5" customHeight="1">
      <c r="A54" s="17">
        <v>5.0</v>
      </c>
      <c r="B54" s="18" t="s">
        <v>32</v>
      </c>
      <c r="C54" s="17">
        <v>3.0</v>
      </c>
      <c r="D54" s="17" t="s">
        <v>36</v>
      </c>
      <c r="E54" s="18" t="s">
        <v>1</v>
      </c>
      <c r="F54" s="18" t="s">
        <v>23</v>
      </c>
      <c r="G54" s="17">
        <v>78.0</v>
      </c>
      <c r="H54" s="17">
        <v>7.0</v>
      </c>
      <c r="I54" s="17">
        <v>2.0</v>
      </c>
      <c r="J54" s="17">
        <v>3.0</v>
      </c>
      <c r="K54" s="17">
        <v>1.0</v>
      </c>
    </row>
    <row r="55" ht="22.5" customHeight="1">
      <c r="A55" s="17">
        <v>6.0</v>
      </c>
      <c r="B55" s="18" t="s">
        <v>32</v>
      </c>
      <c r="C55" s="17">
        <v>3.0</v>
      </c>
      <c r="D55" s="17" t="s">
        <v>36</v>
      </c>
      <c r="E55" s="18" t="s">
        <v>1</v>
      </c>
      <c r="F55" s="18" t="s">
        <v>25</v>
      </c>
      <c r="G55" s="17">
        <v>92.0</v>
      </c>
      <c r="H55" s="17">
        <v>13.0</v>
      </c>
      <c r="I55" s="17">
        <v>5.0</v>
      </c>
      <c r="J55" s="17">
        <v>6.0</v>
      </c>
      <c r="K55" s="17">
        <v>2.0</v>
      </c>
    </row>
    <row r="56" ht="22.5" customHeight="1">
      <c r="A56" s="17">
        <v>7.0</v>
      </c>
      <c r="B56" s="18" t="s">
        <v>34</v>
      </c>
      <c r="C56" s="17">
        <v>3.0</v>
      </c>
      <c r="D56" s="17" t="s">
        <v>36</v>
      </c>
      <c r="E56" s="18" t="s">
        <v>1</v>
      </c>
      <c r="F56" s="18" t="s">
        <v>23</v>
      </c>
      <c r="G56" s="17">
        <v>75.0</v>
      </c>
      <c r="H56" s="17">
        <v>6.0</v>
      </c>
      <c r="I56" s="17">
        <v>0.0</v>
      </c>
      <c r="J56" s="17">
        <v>2.0</v>
      </c>
      <c r="K56" s="17">
        <v>1.0</v>
      </c>
    </row>
    <row r="57" ht="22.5" customHeight="1">
      <c r="A57" s="17">
        <v>8.0</v>
      </c>
      <c r="B57" s="18" t="s">
        <v>34</v>
      </c>
      <c r="C57" s="17">
        <v>3.0</v>
      </c>
      <c r="D57" s="17" t="s">
        <v>36</v>
      </c>
      <c r="E57" s="18" t="s">
        <v>1</v>
      </c>
      <c r="F57" s="18" t="s">
        <v>23</v>
      </c>
      <c r="G57" s="17">
        <v>77.0</v>
      </c>
      <c r="H57" s="17">
        <v>6.0</v>
      </c>
      <c r="I57" s="17">
        <v>1.0</v>
      </c>
      <c r="J57" s="17">
        <v>2.0</v>
      </c>
      <c r="K57" s="17">
        <v>1.0</v>
      </c>
    </row>
    <row r="58" ht="22.5" customHeight="1">
      <c r="A58" s="17">
        <v>9.0</v>
      </c>
      <c r="B58" s="18" t="s">
        <v>34</v>
      </c>
      <c r="C58" s="17">
        <v>3.0</v>
      </c>
      <c r="D58" s="17" t="s">
        <v>36</v>
      </c>
      <c r="E58" s="18" t="s">
        <v>1</v>
      </c>
      <c r="F58" s="18" t="s">
        <v>23</v>
      </c>
      <c r="G58" s="17">
        <v>77.0</v>
      </c>
      <c r="H58" s="17">
        <v>7.0</v>
      </c>
      <c r="I58" s="17">
        <v>2.0</v>
      </c>
      <c r="J58" s="17">
        <v>2.0</v>
      </c>
      <c r="K58" s="17">
        <v>1.0</v>
      </c>
    </row>
    <row r="59" ht="22.5" customHeight="1">
      <c r="A59" s="17">
        <v>10.0</v>
      </c>
      <c r="B59" s="18" t="s">
        <v>34</v>
      </c>
      <c r="C59" s="17">
        <v>3.0</v>
      </c>
      <c r="D59" s="17" t="s">
        <v>36</v>
      </c>
      <c r="E59" s="18" t="s">
        <v>1</v>
      </c>
      <c r="F59" s="18" t="s">
        <v>23</v>
      </c>
      <c r="G59" s="17">
        <v>59.0</v>
      </c>
      <c r="H59" s="17">
        <v>4.0</v>
      </c>
      <c r="I59" s="17">
        <v>0.0</v>
      </c>
      <c r="J59" s="17">
        <v>2.0</v>
      </c>
      <c r="K59" s="17">
        <v>1.0</v>
      </c>
    </row>
    <row r="60" ht="22.5" customHeight="1">
      <c r="A60" s="17">
        <v>11.0</v>
      </c>
      <c r="B60" s="18" t="s">
        <v>34</v>
      </c>
      <c r="C60" s="17">
        <v>3.0</v>
      </c>
      <c r="D60" s="17" t="s">
        <v>36</v>
      </c>
      <c r="E60" s="18" t="s">
        <v>1</v>
      </c>
      <c r="F60" s="18" t="s">
        <v>23</v>
      </c>
      <c r="G60" s="17">
        <v>75.0</v>
      </c>
      <c r="H60" s="17">
        <v>5.0</v>
      </c>
      <c r="I60" s="17">
        <v>0.0</v>
      </c>
      <c r="J60" s="17">
        <v>2.0</v>
      </c>
      <c r="K60" s="17">
        <v>1.0</v>
      </c>
    </row>
    <row r="61" ht="22.5" customHeight="1">
      <c r="A61" s="17">
        <v>12.0</v>
      </c>
      <c r="B61" s="18" t="s">
        <v>34</v>
      </c>
      <c r="C61" s="17">
        <v>3.0</v>
      </c>
      <c r="D61" s="17" t="s">
        <v>36</v>
      </c>
      <c r="E61" s="18" t="s">
        <v>1</v>
      </c>
      <c r="F61" s="18" t="s">
        <v>24</v>
      </c>
      <c r="G61" s="17">
        <v>80.0</v>
      </c>
      <c r="H61" s="17">
        <v>7.0</v>
      </c>
      <c r="I61" s="17">
        <v>2.0</v>
      </c>
      <c r="J61" s="17">
        <v>4.0</v>
      </c>
      <c r="K61" s="17">
        <v>1.0</v>
      </c>
    </row>
    <row r="62" ht="22.5" customHeight="1">
      <c r="A62" s="17">
        <v>1.0</v>
      </c>
      <c r="B62" s="18" t="s">
        <v>32</v>
      </c>
      <c r="C62" s="17">
        <v>3.0</v>
      </c>
      <c r="D62" s="17" t="s">
        <v>36</v>
      </c>
      <c r="E62" s="18" t="s">
        <v>9</v>
      </c>
      <c r="F62" s="18" t="s">
        <v>24</v>
      </c>
      <c r="G62" s="17">
        <v>64.0</v>
      </c>
      <c r="H62" s="17">
        <v>5.0</v>
      </c>
      <c r="I62" s="17">
        <v>3.0</v>
      </c>
      <c r="J62" s="17">
        <v>4.0</v>
      </c>
      <c r="K62" s="17">
        <v>3.0</v>
      </c>
    </row>
    <row r="63" ht="22.5" customHeight="1">
      <c r="A63" s="17">
        <v>2.0</v>
      </c>
      <c r="B63" s="18" t="s">
        <v>32</v>
      </c>
      <c r="C63" s="17">
        <v>3.0</v>
      </c>
      <c r="D63" s="17" t="s">
        <v>36</v>
      </c>
      <c r="E63" s="18" t="s">
        <v>9</v>
      </c>
      <c r="F63" s="18" t="s">
        <v>23</v>
      </c>
      <c r="G63" s="17">
        <v>62.0</v>
      </c>
      <c r="H63" s="17">
        <v>5.0</v>
      </c>
      <c r="I63" s="17">
        <v>2.0</v>
      </c>
      <c r="J63" s="17">
        <v>3.0</v>
      </c>
      <c r="K63" s="17">
        <v>2.0</v>
      </c>
    </row>
    <row r="64" ht="22.5" customHeight="1">
      <c r="A64" s="17">
        <v>3.0</v>
      </c>
      <c r="B64" s="18" t="s">
        <v>32</v>
      </c>
      <c r="C64" s="17">
        <v>3.0</v>
      </c>
      <c r="D64" s="17" t="s">
        <v>36</v>
      </c>
      <c r="E64" s="18" t="s">
        <v>9</v>
      </c>
      <c r="F64" s="18" t="s">
        <v>24</v>
      </c>
      <c r="G64" s="17">
        <v>63.0</v>
      </c>
      <c r="H64" s="17">
        <v>5.0</v>
      </c>
      <c r="I64" s="17">
        <v>2.0</v>
      </c>
      <c r="J64" s="17">
        <v>3.0</v>
      </c>
      <c r="K64" s="17">
        <v>3.0</v>
      </c>
    </row>
    <row r="65" ht="22.5" customHeight="1">
      <c r="A65" s="17">
        <v>4.0</v>
      </c>
      <c r="B65" s="18" t="s">
        <v>32</v>
      </c>
      <c r="C65" s="17">
        <v>3.0</v>
      </c>
      <c r="D65" s="17" t="s">
        <v>36</v>
      </c>
      <c r="E65" s="18" t="s">
        <v>9</v>
      </c>
      <c r="F65" s="18" t="s">
        <v>24</v>
      </c>
      <c r="G65" s="17">
        <v>64.0</v>
      </c>
      <c r="H65" s="17">
        <v>7.0</v>
      </c>
      <c r="I65" s="17">
        <v>3.0</v>
      </c>
      <c r="J65" s="17">
        <v>5.0</v>
      </c>
      <c r="K65" s="17">
        <v>4.0</v>
      </c>
    </row>
    <row r="66" ht="22.5" customHeight="1">
      <c r="A66" s="17">
        <v>5.0</v>
      </c>
      <c r="B66" s="18" t="s">
        <v>32</v>
      </c>
      <c r="C66" s="17">
        <v>3.0</v>
      </c>
      <c r="D66" s="17" t="s">
        <v>36</v>
      </c>
      <c r="E66" s="18" t="s">
        <v>9</v>
      </c>
      <c r="F66" s="18" t="s">
        <v>23</v>
      </c>
      <c r="G66" s="17">
        <v>56.0</v>
      </c>
      <c r="H66" s="17">
        <v>5.0</v>
      </c>
      <c r="I66" s="17">
        <v>1.0</v>
      </c>
      <c r="J66" s="17">
        <v>2.0</v>
      </c>
      <c r="K66" s="17">
        <v>2.0</v>
      </c>
    </row>
    <row r="67" ht="22.5" customHeight="1">
      <c r="A67" s="17">
        <v>6.0</v>
      </c>
      <c r="B67" s="18" t="s">
        <v>32</v>
      </c>
      <c r="C67" s="17">
        <v>3.0</v>
      </c>
      <c r="D67" s="17" t="s">
        <v>36</v>
      </c>
      <c r="E67" s="18" t="s">
        <v>9</v>
      </c>
      <c r="F67" s="18" t="s">
        <v>24</v>
      </c>
      <c r="G67" s="17">
        <v>73.0</v>
      </c>
      <c r="H67" s="17">
        <v>7.0</v>
      </c>
      <c r="I67" s="17">
        <v>4.0</v>
      </c>
      <c r="J67" s="17">
        <v>5.0</v>
      </c>
      <c r="K67" s="17">
        <v>4.0</v>
      </c>
    </row>
    <row r="68" ht="22.5" customHeight="1">
      <c r="A68" s="17">
        <v>7.0</v>
      </c>
      <c r="B68" s="18" t="s">
        <v>34</v>
      </c>
      <c r="C68" s="17">
        <v>3.0</v>
      </c>
      <c r="D68" s="17" t="s">
        <v>36</v>
      </c>
      <c r="E68" s="18" t="s">
        <v>9</v>
      </c>
      <c r="F68" s="18" t="s">
        <v>23</v>
      </c>
      <c r="G68" s="17">
        <v>54.0</v>
      </c>
      <c r="H68" s="17">
        <v>3.0</v>
      </c>
      <c r="I68" s="17">
        <v>1.0</v>
      </c>
      <c r="J68" s="17">
        <v>2.0</v>
      </c>
      <c r="K68" s="17">
        <v>1.0</v>
      </c>
    </row>
    <row r="69" ht="22.5" customHeight="1">
      <c r="A69" s="17">
        <v>8.0</v>
      </c>
      <c r="B69" s="18" t="s">
        <v>34</v>
      </c>
      <c r="C69" s="17">
        <v>3.0</v>
      </c>
      <c r="D69" s="17" t="s">
        <v>36</v>
      </c>
      <c r="E69" s="18" t="s">
        <v>9</v>
      </c>
      <c r="F69" s="18" t="s">
        <v>23</v>
      </c>
      <c r="G69" s="17">
        <v>55.0</v>
      </c>
      <c r="H69" s="17">
        <v>4.0</v>
      </c>
      <c r="I69" s="17">
        <v>1.0</v>
      </c>
      <c r="J69" s="17">
        <v>2.0</v>
      </c>
      <c r="K69" s="17">
        <v>1.0</v>
      </c>
    </row>
    <row r="70" ht="22.5" customHeight="1">
      <c r="A70" s="17">
        <v>9.0</v>
      </c>
      <c r="B70" s="18" t="s">
        <v>34</v>
      </c>
      <c r="C70" s="17">
        <v>3.0</v>
      </c>
      <c r="D70" s="17" t="s">
        <v>36</v>
      </c>
      <c r="E70" s="18" t="s">
        <v>9</v>
      </c>
      <c r="F70" s="18" t="s">
        <v>23</v>
      </c>
      <c r="G70" s="17">
        <v>55.0</v>
      </c>
      <c r="H70" s="17">
        <v>5.0</v>
      </c>
      <c r="I70" s="17">
        <v>1.0</v>
      </c>
      <c r="J70" s="17">
        <v>2.0</v>
      </c>
      <c r="K70" s="17">
        <v>2.0</v>
      </c>
    </row>
    <row r="71" ht="22.5" customHeight="1">
      <c r="A71" s="17">
        <v>10.0</v>
      </c>
      <c r="B71" s="18" t="s">
        <v>34</v>
      </c>
      <c r="C71" s="17">
        <v>3.0</v>
      </c>
      <c r="D71" s="17" t="s">
        <v>36</v>
      </c>
      <c r="E71" s="18" t="s">
        <v>9</v>
      </c>
      <c r="F71" s="18" t="s">
        <v>23</v>
      </c>
      <c r="G71" s="17">
        <v>44.0</v>
      </c>
      <c r="H71" s="17">
        <v>2.0</v>
      </c>
      <c r="I71" s="17">
        <v>0.0</v>
      </c>
      <c r="J71" s="17">
        <v>1.0</v>
      </c>
      <c r="K71" s="17">
        <v>1.0</v>
      </c>
    </row>
    <row r="72" ht="22.5" customHeight="1">
      <c r="A72" s="17">
        <v>11.0</v>
      </c>
      <c r="B72" s="18" t="s">
        <v>34</v>
      </c>
      <c r="C72" s="17">
        <v>3.0</v>
      </c>
      <c r="D72" s="17" t="s">
        <v>36</v>
      </c>
      <c r="E72" s="18" t="s">
        <v>9</v>
      </c>
      <c r="F72" s="18" t="s">
        <v>23</v>
      </c>
      <c r="G72" s="17">
        <v>54.0</v>
      </c>
      <c r="H72" s="17">
        <v>3.0</v>
      </c>
      <c r="I72" s="17">
        <v>0.0</v>
      </c>
      <c r="J72" s="17">
        <v>1.0</v>
      </c>
      <c r="K72" s="17">
        <v>1.0</v>
      </c>
    </row>
    <row r="73" ht="22.5" customHeight="1">
      <c r="A73" s="17">
        <v>12.0</v>
      </c>
      <c r="B73" s="18" t="s">
        <v>34</v>
      </c>
      <c r="C73" s="17">
        <v>3.0</v>
      </c>
      <c r="D73" s="17" t="s">
        <v>36</v>
      </c>
      <c r="E73" s="18" t="s">
        <v>9</v>
      </c>
      <c r="F73" s="18" t="s">
        <v>23</v>
      </c>
      <c r="G73" s="17">
        <v>56.0</v>
      </c>
      <c r="H73" s="17">
        <v>5.0</v>
      </c>
      <c r="I73" s="17">
        <v>1.0</v>
      </c>
      <c r="J73" s="17">
        <v>2.0</v>
      </c>
      <c r="K73" s="17">
        <v>2.0</v>
      </c>
    </row>
    <row r="74" ht="22.5" customHeight="1">
      <c r="A74" s="17">
        <v>1.0</v>
      </c>
      <c r="B74" s="18" t="s">
        <v>32</v>
      </c>
      <c r="C74" s="17">
        <v>4.0</v>
      </c>
      <c r="D74" s="17" t="s">
        <v>37</v>
      </c>
      <c r="E74" s="18" t="s">
        <v>1</v>
      </c>
      <c r="F74" s="18" t="s">
        <v>23</v>
      </c>
      <c r="G74" s="17">
        <v>24.0</v>
      </c>
      <c r="H74" s="17">
        <v>4.0</v>
      </c>
      <c r="I74" s="17">
        <v>1.0</v>
      </c>
      <c r="J74" s="17">
        <v>2.0</v>
      </c>
      <c r="K74" s="17">
        <v>3.0</v>
      </c>
    </row>
    <row r="75" ht="22.5" customHeight="1">
      <c r="A75" s="17">
        <v>2.0</v>
      </c>
      <c r="B75" s="18" t="s">
        <v>32</v>
      </c>
      <c r="C75" s="17">
        <v>4.0</v>
      </c>
      <c r="D75" s="17" t="s">
        <v>37</v>
      </c>
      <c r="E75" s="18" t="s">
        <v>1</v>
      </c>
      <c r="F75" s="18" t="s">
        <v>23</v>
      </c>
      <c r="G75" s="17">
        <v>23.0</v>
      </c>
      <c r="H75" s="17">
        <v>4.0</v>
      </c>
      <c r="I75" s="17">
        <v>1.0</v>
      </c>
      <c r="J75" s="17">
        <v>1.0</v>
      </c>
      <c r="K75" s="17">
        <v>3.0</v>
      </c>
    </row>
    <row r="76" ht="22.5" customHeight="1">
      <c r="A76" s="17">
        <v>3.0</v>
      </c>
      <c r="B76" s="18" t="s">
        <v>32</v>
      </c>
      <c r="C76" s="17">
        <v>4.0</v>
      </c>
      <c r="D76" s="17" t="s">
        <v>37</v>
      </c>
      <c r="E76" s="18" t="s">
        <v>1</v>
      </c>
      <c r="F76" s="18" t="s">
        <v>23</v>
      </c>
      <c r="G76" s="17">
        <v>24.0</v>
      </c>
      <c r="H76" s="17">
        <v>4.0</v>
      </c>
      <c r="I76" s="17">
        <v>1.0</v>
      </c>
      <c r="J76" s="17">
        <v>2.0</v>
      </c>
      <c r="K76" s="17">
        <v>3.0</v>
      </c>
    </row>
    <row r="77" ht="22.5" customHeight="1">
      <c r="A77" s="17">
        <v>4.0</v>
      </c>
      <c r="B77" s="18" t="s">
        <v>32</v>
      </c>
      <c r="C77" s="17">
        <v>4.0</v>
      </c>
      <c r="D77" s="17" t="s">
        <v>37</v>
      </c>
      <c r="E77" s="18" t="s">
        <v>1</v>
      </c>
      <c r="F77" s="18" t="s">
        <v>24</v>
      </c>
      <c r="G77" s="17">
        <v>27.0</v>
      </c>
      <c r="H77" s="17">
        <v>5.0</v>
      </c>
      <c r="I77" s="17">
        <v>2.0</v>
      </c>
      <c r="J77" s="17">
        <v>2.0</v>
      </c>
      <c r="K77" s="17">
        <v>3.0</v>
      </c>
    </row>
    <row r="78" ht="22.5" customHeight="1">
      <c r="A78" s="17">
        <v>5.0</v>
      </c>
      <c r="B78" s="18" t="s">
        <v>32</v>
      </c>
      <c r="C78" s="17">
        <v>4.0</v>
      </c>
      <c r="D78" s="17" t="s">
        <v>37</v>
      </c>
      <c r="E78" s="18" t="s">
        <v>1</v>
      </c>
      <c r="F78" s="18" t="s">
        <v>23</v>
      </c>
      <c r="G78" s="17">
        <v>18.0</v>
      </c>
      <c r="H78" s="17">
        <v>2.0</v>
      </c>
      <c r="I78" s="17">
        <v>1.0</v>
      </c>
      <c r="J78" s="17">
        <v>1.0</v>
      </c>
      <c r="K78" s="17">
        <v>2.0</v>
      </c>
    </row>
    <row r="79" ht="22.5" customHeight="1">
      <c r="A79" s="17">
        <v>6.0</v>
      </c>
      <c r="B79" s="18" t="s">
        <v>32</v>
      </c>
      <c r="C79" s="17">
        <v>4.0</v>
      </c>
      <c r="D79" s="17" t="s">
        <v>37</v>
      </c>
      <c r="E79" s="18" t="s">
        <v>1</v>
      </c>
      <c r="F79" s="18" t="s">
        <v>24</v>
      </c>
      <c r="G79" s="17">
        <v>31.0</v>
      </c>
      <c r="H79" s="17">
        <v>5.0</v>
      </c>
      <c r="I79" s="17">
        <v>2.0</v>
      </c>
      <c r="J79" s="17">
        <v>2.0</v>
      </c>
      <c r="K79" s="17">
        <v>4.0</v>
      </c>
    </row>
    <row r="80" ht="22.5" customHeight="1">
      <c r="A80" s="17">
        <v>7.0</v>
      </c>
      <c r="B80" s="18" t="s">
        <v>34</v>
      </c>
      <c r="C80" s="17">
        <v>4.0</v>
      </c>
      <c r="D80" s="17" t="s">
        <v>37</v>
      </c>
      <c r="E80" s="18" t="s">
        <v>1</v>
      </c>
      <c r="F80" s="18" t="s">
        <v>23</v>
      </c>
      <c r="G80" s="17">
        <v>13.0</v>
      </c>
      <c r="H80" s="17">
        <v>2.0</v>
      </c>
      <c r="I80" s="17">
        <v>0.0</v>
      </c>
      <c r="J80" s="17">
        <v>1.0</v>
      </c>
      <c r="K80" s="17">
        <v>1.0</v>
      </c>
    </row>
    <row r="81" ht="22.5" customHeight="1">
      <c r="A81" s="17">
        <v>8.0</v>
      </c>
      <c r="B81" s="18" t="s">
        <v>34</v>
      </c>
      <c r="C81" s="17">
        <v>4.0</v>
      </c>
      <c r="D81" s="17" t="s">
        <v>37</v>
      </c>
      <c r="E81" s="18" t="s">
        <v>1</v>
      </c>
      <c r="F81" s="18" t="s">
        <v>23</v>
      </c>
      <c r="G81" s="17">
        <v>17.0</v>
      </c>
      <c r="H81" s="17">
        <v>2.0</v>
      </c>
      <c r="I81" s="17">
        <v>0.0</v>
      </c>
      <c r="J81" s="17">
        <v>1.0</v>
      </c>
      <c r="K81" s="17">
        <v>1.0</v>
      </c>
    </row>
    <row r="82" ht="22.5" customHeight="1">
      <c r="A82" s="17">
        <v>9.0</v>
      </c>
      <c r="B82" s="18" t="s">
        <v>34</v>
      </c>
      <c r="C82" s="17">
        <v>4.0</v>
      </c>
      <c r="D82" s="17" t="s">
        <v>37</v>
      </c>
      <c r="E82" s="18" t="s">
        <v>1</v>
      </c>
      <c r="F82" s="18" t="s">
        <v>23</v>
      </c>
      <c r="G82" s="17">
        <v>17.0</v>
      </c>
      <c r="H82" s="17">
        <v>2.0</v>
      </c>
      <c r="I82" s="17">
        <v>0.0</v>
      </c>
      <c r="J82" s="17">
        <v>1.0</v>
      </c>
      <c r="K82" s="17">
        <v>2.0</v>
      </c>
    </row>
    <row r="83" ht="22.5" customHeight="1">
      <c r="A83" s="17">
        <v>10.0</v>
      </c>
      <c r="B83" s="18" t="s">
        <v>34</v>
      </c>
      <c r="C83" s="17">
        <v>4.0</v>
      </c>
      <c r="D83" s="17" t="s">
        <v>37</v>
      </c>
      <c r="E83" s="18" t="s">
        <v>1</v>
      </c>
      <c r="F83" s="18" t="s">
        <v>23</v>
      </c>
      <c r="G83" s="17">
        <v>12.0</v>
      </c>
      <c r="H83" s="17">
        <v>1.0</v>
      </c>
      <c r="I83" s="17">
        <v>0.0</v>
      </c>
      <c r="J83" s="17">
        <v>1.0</v>
      </c>
      <c r="K83" s="17">
        <v>1.0</v>
      </c>
    </row>
    <row r="84" ht="22.5" customHeight="1">
      <c r="A84" s="17">
        <v>11.0</v>
      </c>
      <c r="B84" s="18" t="s">
        <v>34</v>
      </c>
      <c r="C84" s="17">
        <v>4.0</v>
      </c>
      <c r="D84" s="17" t="s">
        <v>37</v>
      </c>
      <c r="E84" s="18" t="s">
        <v>1</v>
      </c>
      <c r="F84" s="18" t="s">
        <v>23</v>
      </c>
      <c r="G84" s="17">
        <v>13.0</v>
      </c>
      <c r="H84" s="17">
        <v>1.0</v>
      </c>
      <c r="I84" s="17">
        <v>0.0</v>
      </c>
      <c r="J84" s="17">
        <v>1.0</v>
      </c>
      <c r="K84" s="17">
        <v>1.0</v>
      </c>
    </row>
    <row r="85" ht="22.5" customHeight="1">
      <c r="A85" s="17">
        <v>12.0</v>
      </c>
      <c r="B85" s="18" t="s">
        <v>34</v>
      </c>
      <c r="C85" s="17">
        <v>4.0</v>
      </c>
      <c r="D85" s="17" t="s">
        <v>37</v>
      </c>
      <c r="E85" s="18" t="s">
        <v>1</v>
      </c>
      <c r="F85" s="18" t="s">
        <v>23</v>
      </c>
      <c r="G85" s="17">
        <v>22.0</v>
      </c>
      <c r="H85" s="17">
        <v>3.0</v>
      </c>
      <c r="I85" s="17">
        <v>1.0</v>
      </c>
      <c r="J85" s="17">
        <v>1.0</v>
      </c>
      <c r="K85" s="17">
        <v>2.0</v>
      </c>
    </row>
    <row r="86" ht="22.5" customHeight="1">
      <c r="A86" s="17">
        <v>1.0</v>
      </c>
      <c r="B86" s="18" t="s">
        <v>32</v>
      </c>
      <c r="C86" s="17">
        <v>4.0</v>
      </c>
      <c r="D86" s="17" t="s">
        <v>37</v>
      </c>
      <c r="E86" s="18" t="s">
        <v>9</v>
      </c>
      <c r="F86" s="18" t="s">
        <v>23</v>
      </c>
      <c r="G86" s="17">
        <v>22.0</v>
      </c>
      <c r="H86" s="17">
        <v>4.0</v>
      </c>
      <c r="I86" s="17">
        <v>1.0</v>
      </c>
      <c r="J86" s="17">
        <v>1.0</v>
      </c>
      <c r="K86" s="17">
        <v>7.0</v>
      </c>
    </row>
    <row r="87" ht="22.5" customHeight="1">
      <c r="A87" s="17">
        <v>2.0</v>
      </c>
      <c r="B87" s="18" t="s">
        <v>32</v>
      </c>
      <c r="C87" s="17">
        <v>4.0</v>
      </c>
      <c r="D87" s="17" t="s">
        <v>37</v>
      </c>
      <c r="E87" s="18" t="s">
        <v>9</v>
      </c>
      <c r="F87" s="18" t="s">
        <v>23</v>
      </c>
      <c r="G87" s="17">
        <v>18.0</v>
      </c>
      <c r="H87" s="17">
        <v>3.0</v>
      </c>
      <c r="I87" s="17">
        <v>1.0</v>
      </c>
      <c r="J87" s="17">
        <v>1.0</v>
      </c>
      <c r="K87" s="17">
        <v>5.0</v>
      </c>
    </row>
    <row r="88" ht="22.5" customHeight="1">
      <c r="A88" s="17">
        <v>3.0</v>
      </c>
      <c r="B88" s="18" t="s">
        <v>32</v>
      </c>
      <c r="C88" s="17">
        <v>4.0</v>
      </c>
      <c r="D88" s="17" t="s">
        <v>37</v>
      </c>
      <c r="E88" s="18" t="s">
        <v>9</v>
      </c>
      <c r="F88" s="18" t="s">
        <v>23</v>
      </c>
      <c r="G88" s="17">
        <v>20.0</v>
      </c>
      <c r="H88" s="17">
        <v>3.0</v>
      </c>
      <c r="I88" s="17">
        <v>1.0</v>
      </c>
      <c r="J88" s="17">
        <v>1.0</v>
      </c>
      <c r="K88" s="17">
        <v>5.0</v>
      </c>
    </row>
    <row r="89" ht="22.5" customHeight="1">
      <c r="A89" s="17">
        <v>4.0</v>
      </c>
      <c r="B89" s="18" t="s">
        <v>32</v>
      </c>
      <c r="C89" s="17">
        <v>4.0</v>
      </c>
      <c r="D89" s="17" t="s">
        <v>37</v>
      </c>
      <c r="E89" s="18" t="s">
        <v>9</v>
      </c>
      <c r="F89" s="18" t="s">
        <v>23</v>
      </c>
      <c r="G89" s="17">
        <v>23.0</v>
      </c>
      <c r="H89" s="17">
        <v>5.0</v>
      </c>
      <c r="I89" s="17">
        <v>1.0</v>
      </c>
      <c r="J89" s="17">
        <v>1.0</v>
      </c>
      <c r="K89" s="17">
        <v>7.0</v>
      </c>
    </row>
    <row r="90" ht="22.5" customHeight="1">
      <c r="A90" s="17">
        <v>5.0</v>
      </c>
      <c r="B90" s="18" t="s">
        <v>32</v>
      </c>
      <c r="C90" s="17">
        <v>4.0</v>
      </c>
      <c r="D90" s="17" t="s">
        <v>37</v>
      </c>
      <c r="E90" s="18" t="s">
        <v>9</v>
      </c>
      <c r="F90" s="18" t="s">
        <v>23</v>
      </c>
      <c r="G90" s="17">
        <v>17.0</v>
      </c>
      <c r="H90" s="17">
        <v>3.0</v>
      </c>
      <c r="I90" s="17">
        <v>0.0</v>
      </c>
      <c r="J90" s="17">
        <v>1.0</v>
      </c>
      <c r="K90" s="17">
        <v>4.0</v>
      </c>
    </row>
    <row r="91" ht="22.5" customHeight="1">
      <c r="A91" s="17">
        <v>6.0</v>
      </c>
      <c r="B91" s="18" t="s">
        <v>32</v>
      </c>
      <c r="C91" s="17">
        <v>4.0</v>
      </c>
      <c r="D91" s="17" t="s">
        <v>37</v>
      </c>
      <c r="E91" s="18" t="s">
        <v>9</v>
      </c>
      <c r="F91" s="18" t="s">
        <v>24</v>
      </c>
      <c r="G91" s="17">
        <v>28.0</v>
      </c>
      <c r="H91" s="17">
        <v>5.0</v>
      </c>
      <c r="I91" s="17">
        <v>4.0</v>
      </c>
      <c r="J91" s="17">
        <v>2.0</v>
      </c>
      <c r="K91" s="17">
        <v>8.0</v>
      </c>
    </row>
    <row r="92" ht="22.5" customHeight="1">
      <c r="A92" s="17">
        <v>7.0</v>
      </c>
      <c r="B92" s="18" t="s">
        <v>34</v>
      </c>
      <c r="C92" s="17">
        <v>4.0</v>
      </c>
      <c r="D92" s="17" t="s">
        <v>37</v>
      </c>
      <c r="E92" s="18" t="s">
        <v>9</v>
      </c>
      <c r="F92" s="18" t="s">
        <v>23</v>
      </c>
      <c r="G92" s="17">
        <v>14.0</v>
      </c>
      <c r="H92" s="17">
        <v>2.0</v>
      </c>
      <c r="I92" s="17">
        <v>0.0</v>
      </c>
      <c r="J92" s="17">
        <v>1.0</v>
      </c>
      <c r="K92" s="17">
        <v>3.0</v>
      </c>
    </row>
    <row r="93" ht="22.5" customHeight="1">
      <c r="A93" s="17">
        <v>8.0</v>
      </c>
      <c r="B93" s="18" t="s">
        <v>34</v>
      </c>
      <c r="C93" s="17">
        <v>4.0</v>
      </c>
      <c r="D93" s="17" t="s">
        <v>37</v>
      </c>
      <c r="E93" s="18" t="s">
        <v>9</v>
      </c>
      <c r="F93" s="18" t="s">
        <v>23</v>
      </c>
      <c r="G93" s="17">
        <v>16.0</v>
      </c>
      <c r="H93" s="17">
        <v>2.0</v>
      </c>
      <c r="I93" s="17">
        <v>0.0</v>
      </c>
      <c r="J93" s="17">
        <v>1.0</v>
      </c>
      <c r="K93" s="17">
        <v>4.0</v>
      </c>
    </row>
    <row r="94" ht="22.5" customHeight="1">
      <c r="A94" s="17">
        <v>9.0</v>
      </c>
      <c r="B94" s="18" t="s">
        <v>34</v>
      </c>
      <c r="C94" s="17">
        <v>4.0</v>
      </c>
      <c r="D94" s="17" t="s">
        <v>37</v>
      </c>
      <c r="E94" s="18" t="s">
        <v>9</v>
      </c>
      <c r="F94" s="18" t="s">
        <v>23</v>
      </c>
      <c r="G94" s="17">
        <v>17.0</v>
      </c>
      <c r="H94" s="17">
        <v>3.0</v>
      </c>
      <c r="I94" s="17">
        <v>0.0</v>
      </c>
      <c r="J94" s="17">
        <v>1.0</v>
      </c>
      <c r="K94" s="17">
        <v>4.0</v>
      </c>
    </row>
    <row r="95" ht="22.5" customHeight="1">
      <c r="A95" s="17">
        <v>10.0</v>
      </c>
      <c r="B95" s="18" t="s">
        <v>34</v>
      </c>
      <c r="C95" s="17">
        <v>4.0</v>
      </c>
      <c r="D95" s="17" t="s">
        <v>37</v>
      </c>
      <c r="E95" s="18" t="s">
        <v>9</v>
      </c>
      <c r="F95" s="18" t="s">
        <v>23</v>
      </c>
      <c r="G95" s="17">
        <v>12.0</v>
      </c>
      <c r="H95" s="17">
        <v>1.0</v>
      </c>
      <c r="I95" s="17">
        <v>0.0</v>
      </c>
      <c r="J95" s="17">
        <v>1.0</v>
      </c>
      <c r="K95" s="17">
        <v>2.0</v>
      </c>
    </row>
    <row r="96" ht="22.5" customHeight="1">
      <c r="A96" s="17">
        <v>11.0</v>
      </c>
      <c r="B96" s="18" t="s">
        <v>34</v>
      </c>
      <c r="C96" s="17">
        <v>4.0</v>
      </c>
      <c r="D96" s="17" t="s">
        <v>37</v>
      </c>
      <c r="E96" s="18" t="s">
        <v>9</v>
      </c>
      <c r="F96" s="18" t="s">
        <v>23</v>
      </c>
      <c r="G96" s="17">
        <v>12.0</v>
      </c>
      <c r="H96" s="17">
        <v>1.0</v>
      </c>
      <c r="I96" s="17">
        <v>0.0</v>
      </c>
      <c r="J96" s="17">
        <v>1.0</v>
      </c>
      <c r="K96" s="17">
        <v>3.0</v>
      </c>
    </row>
    <row r="97" ht="22.5" customHeight="1">
      <c r="A97" s="17">
        <v>12.0</v>
      </c>
      <c r="B97" s="18" t="s">
        <v>34</v>
      </c>
      <c r="C97" s="17">
        <v>4.0</v>
      </c>
      <c r="D97" s="17" t="s">
        <v>37</v>
      </c>
      <c r="E97" s="18" t="s">
        <v>9</v>
      </c>
      <c r="F97" s="18" t="s">
        <v>23</v>
      </c>
      <c r="G97" s="17">
        <v>18.0</v>
      </c>
      <c r="H97" s="17">
        <v>3.0</v>
      </c>
      <c r="I97" s="17">
        <v>0.0</v>
      </c>
      <c r="J97" s="17">
        <v>1.0</v>
      </c>
      <c r="K97" s="17">
        <v>5.0</v>
      </c>
    </row>
    <row r="98" ht="22.5" customHeight="1">
      <c r="A98" s="17">
        <v>1.0</v>
      </c>
      <c r="B98" s="18" t="s">
        <v>32</v>
      </c>
      <c r="C98" s="17">
        <v>5.0</v>
      </c>
      <c r="D98" s="17" t="s">
        <v>38</v>
      </c>
      <c r="E98" s="18" t="s">
        <v>1</v>
      </c>
      <c r="F98" s="18" t="s">
        <v>23</v>
      </c>
      <c r="G98" s="17">
        <v>20.0</v>
      </c>
      <c r="H98" s="17">
        <v>6.0</v>
      </c>
      <c r="I98" s="17">
        <v>0.0</v>
      </c>
      <c r="J98" s="17">
        <v>2.0</v>
      </c>
      <c r="K98" s="17">
        <v>4.0</v>
      </c>
    </row>
    <row r="99" ht="22.5" customHeight="1">
      <c r="A99" s="17">
        <v>2.0</v>
      </c>
      <c r="B99" s="18" t="s">
        <v>32</v>
      </c>
      <c r="C99" s="17">
        <v>5.0</v>
      </c>
      <c r="D99" s="17" t="s">
        <v>38</v>
      </c>
      <c r="E99" s="18" t="s">
        <v>1</v>
      </c>
      <c r="F99" s="18" t="s">
        <v>23</v>
      </c>
      <c r="G99" s="17">
        <v>19.0</v>
      </c>
      <c r="H99" s="17">
        <v>5.0</v>
      </c>
      <c r="I99" s="17">
        <v>0.0</v>
      </c>
      <c r="J99" s="17">
        <v>1.0</v>
      </c>
      <c r="K99" s="17">
        <v>4.0</v>
      </c>
    </row>
    <row r="100" ht="22.5" customHeight="1">
      <c r="A100" s="17">
        <v>3.0</v>
      </c>
      <c r="B100" s="18" t="s">
        <v>32</v>
      </c>
      <c r="C100" s="17">
        <v>5.0</v>
      </c>
      <c r="D100" s="17" t="s">
        <v>38</v>
      </c>
      <c r="E100" s="18" t="s">
        <v>1</v>
      </c>
      <c r="F100" s="18" t="s">
        <v>23</v>
      </c>
      <c r="G100" s="17">
        <v>20.0</v>
      </c>
      <c r="H100" s="17">
        <v>6.0</v>
      </c>
      <c r="I100" s="17">
        <v>0.0</v>
      </c>
      <c r="J100" s="17">
        <v>2.0</v>
      </c>
      <c r="K100" s="17">
        <v>4.0</v>
      </c>
    </row>
    <row r="101" ht="22.5" customHeight="1">
      <c r="A101" s="17">
        <v>4.0</v>
      </c>
      <c r="B101" s="18" t="s">
        <v>32</v>
      </c>
      <c r="C101" s="17">
        <v>5.0</v>
      </c>
      <c r="D101" s="17" t="s">
        <v>38</v>
      </c>
      <c r="E101" s="18" t="s">
        <v>1</v>
      </c>
      <c r="F101" s="18" t="s">
        <v>24</v>
      </c>
      <c r="G101" s="17">
        <v>22.0</v>
      </c>
      <c r="H101" s="17">
        <v>7.0</v>
      </c>
      <c r="I101" s="17">
        <v>1.0</v>
      </c>
      <c r="J101" s="17">
        <v>2.0</v>
      </c>
      <c r="K101" s="17">
        <v>5.0</v>
      </c>
    </row>
    <row r="102" ht="22.5" customHeight="1">
      <c r="A102" s="17">
        <v>5.0</v>
      </c>
      <c r="B102" s="18" t="s">
        <v>32</v>
      </c>
      <c r="C102" s="17">
        <v>5.0</v>
      </c>
      <c r="D102" s="17" t="s">
        <v>38</v>
      </c>
      <c r="E102" s="18" t="s">
        <v>1</v>
      </c>
      <c r="F102" s="18" t="s">
        <v>23</v>
      </c>
      <c r="G102" s="17">
        <v>18.0</v>
      </c>
      <c r="H102" s="17">
        <v>4.0</v>
      </c>
      <c r="I102" s="17">
        <v>0.0</v>
      </c>
      <c r="J102" s="17">
        <v>1.0</v>
      </c>
      <c r="K102" s="17">
        <v>3.0</v>
      </c>
    </row>
    <row r="103" ht="22.5" customHeight="1">
      <c r="A103" s="17">
        <v>6.0</v>
      </c>
      <c r="B103" s="18" t="s">
        <v>32</v>
      </c>
      <c r="C103" s="17">
        <v>5.0</v>
      </c>
      <c r="D103" s="17" t="s">
        <v>38</v>
      </c>
      <c r="E103" s="18" t="s">
        <v>1</v>
      </c>
      <c r="F103" s="18" t="s">
        <v>24</v>
      </c>
      <c r="G103" s="17">
        <v>23.0</v>
      </c>
      <c r="H103" s="17">
        <v>9.0</v>
      </c>
      <c r="I103" s="17">
        <v>1.0</v>
      </c>
      <c r="J103" s="17">
        <v>3.0</v>
      </c>
      <c r="K103" s="17">
        <v>5.0</v>
      </c>
    </row>
    <row r="104" ht="22.5" customHeight="1">
      <c r="A104" s="17">
        <v>7.0</v>
      </c>
      <c r="B104" s="18" t="s">
        <v>34</v>
      </c>
      <c r="C104" s="17">
        <v>5.0</v>
      </c>
      <c r="D104" s="17" t="s">
        <v>38</v>
      </c>
      <c r="E104" s="18" t="s">
        <v>1</v>
      </c>
      <c r="F104" s="18" t="s">
        <v>23</v>
      </c>
      <c r="G104" s="17">
        <v>13.0</v>
      </c>
      <c r="H104" s="17">
        <v>4.0</v>
      </c>
      <c r="I104" s="17">
        <v>0.0</v>
      </c>
      <c r="J104" s="17">
        <v>1.0</v>
      </c>
      <c r="K104" s="17">
        <v>2.0</v>
      </c>
    </row>
    <row r="105" ht="22.5" customHeight="1">
      <c r="A105" s="17">
        <v>8.0</v>
      </c>
      <c r="B105" s="18" t="s">
        <v>34</v>
      </c>
      <c r="C105" s="17">
        <v>5.0</v>
      </c>
      <c r="D105" s="17" t="s">
        <v>38</v>
      </c>
      <c r="E105" s="18" t="s">
        <v>1</v>
      </c>
      <c r="F105" s="18" t="s">
        <v>23</v>
      </c>
      <c r="G105" s="17">
        <v>14.0</v>
      </c>
      <c r="H105" s="17">
        <v>4.0</v>
      </c>
      <c r="I105" s="17">
        <v>0.0</v>
      </c>
      <c r="J105" s="17">
        <v>1.0</v>
      </c>
      <c r="K105" s="17">
        <v>2.0</v>
      </c>
    </row>
    <row r="106" ht="22.5" customHeight="1">
      <c r="A106" s="17">
        <v>9.0</v>
      </c>
      <c r="B106" s="18" t="s">
        <v>34</v>
      </c>
      <c r="C106" s="17">
        <v>5.0</v>
      </c>
      <c r="D106" s="17" t="s">
        <v>38</v>
      </c>
      <c r="E106" s="18" t="s">
        <v>1</v>
      </c>
      <c r="F106" s="18" t="s">
        <v>23</v>
      </c>
      <c r="G106" s="17">
        <v>16.0</v>
      </c>
      <c r="H106" s="17">
        <v>4.0</v>
      </c>
      <c r="I106" s="17">
        <v>0.0</v>
      </c>
      <c r="J106" s="17">
        <v>1.0</v>
      </c>
      <c r="K106" s="17">
        <v>2.0</v>
      </c>
    </row>
    <row r="107" ht="22.5" customHeight="1">
      <c r="A107" s="17">
        <v>10.0</v>
      </c>
      <c r="B107" s="18" t="s">
        <v>34</v>
      </c>
      <c r="C107" s="17">
        <v>5.0</v>
      </c>
      <c r="D107" s="17" t="s">
        <v>38</v>
      </c>
      <c r="E107" s="18" t="s">
        <v>1</v>
      </c>
      <c r="F107" s="18" t="s">
        <v>23</v>
      </c>
      <c r="G107" s="17">
        <v>11.0</v>
      </c>
      <c r="H107" s="17">
        <v>2.0</v>
      </c>
      <c r="I107" s="17">
        <v>0.0</v>
      </c>
      <c r="J107" s="17">
        <v>1.0</v>
      </c>
      <c r="K107" s="17">
        <v>1.0</v>
      </c>
    </row>
    <row r="108" ht="22.5" customHeight="1">
      <c r="A108" s="17">
        <v>11.0</v>
      </c>
      <c r="B108" s="18" t="s">
        <v>34</v>
      </c>
      <c r="C108" s="17">
        <v>5.0</v>
      </c>
      <c r="D108" s="17" t="s">
        <v>38</v>
      </c>
      <c r="E108" s="18" t="s">
        <v>1</v>
      </c>
      <c r="F108" s="18" t="s">
        <v>23</v>
      </c>
      <c r="G108" s="17">
        <v>13.0</v>
      </c>
      <c r="H108" s="17">
        <v>3.0</v>
      </c>
      <c r="I108" s="17">
        <v>0.0</v>
      </c>
      <c r="J108" s="17">
        <v>1.0</v>
      </c>
      <c r="K108" s="17">
        <v>2.0</v>
      </c>
    </row>
    <row r="109" ht="22.5" customHeight="1">
      <c r="A109" s="17">
        <v>12.0</v>
      </c>
      <c r="B109" s="18" t="s">
        <v>34</v>
      </c>
      <c r="C109" s="17">
        <v>5.0</v>
      </c>
      <c r="D109" s="17" t="s">
        <v>38</v>
      </c>
      <c r="E109" s="18" t="s">
        <v>1</v>
      </c>
      <c r="F109" s="18" t="s">
        <v>23</v>
      </c>
      <c r="G109" s="17">
        <v>18.0</v>
      </c>
      <c r="H109" s="17">
        <v>5.0</v>
      </c>
      <c r="I109" s="17">
        <v>0.0</v>
      </c>
      <c r="J109" s="17">
        <v>1.0</v>
      </c>
      <c r="K109" s="17">
        <v>3.0</v>
      </c>
    </row>
    <row r="110" ht="22.5" customHeight="1">
      <c r="A110" s="17">
        <v>1.0</v>
      </c>
      <c r="B110" s="18" t="s">
        <v>32</v>
      </c>
      <c r="C110" s="17">
        <v>5.0</v>
      </c>
      <c r="D110" s="17" t="s">
        <v>38</v>
      </c>
      <c r="E110" s="18" t="s">
        <v>9</v>
      </c>
      <c r="F110" s="18" t="s">
        <v>23</v>
      </c>
      <c r="G110" s="17">
        <v>22.0</v>
      </c>
      <c r="H110" s="17">
        <v>5.0</v>
      </c>
      <c r="I110" s="17">
        <v>1.0</v>
      </c>
      <c r="J110" s="17">
        <v>2.0</v>
      </c>
      <c r="K110" s="17">
        <v>5.0</v>
      </c>
    </row>
    <row r="111" ht="22.5" customHeight="1">
      <c r="A111" s="17">
        <v>2.0</v>
      </c>
      <c r="B111" s="18" t="s">
        <v>32</v>
      </c>
      <c r="C111" s="17">
        <v>5.0</v>
      </c>
      <c r="D111" s="17" t="s">
        <v>38</v>
      </c>
      <c r="E111" s="18" t="s">
        <v>9</v>
      </c>
      <c r="F111" s="18" t="s">
        <v>23</v>
      </c>
      <c r="G111" s="17">
        <v>20.0</v>
      </c>
      <c r="H111" s="17">
        <v>4.0</v>
      </c>
      <c r="I111" s="17">
        <v>0.0</v>
      </c>
      <c r="J111" s="17">
        <v>2.0</v>
      </c>
      <c r="K111" s="17">
        <v>4.0</v>
      </c>
    </row>
    <row r="112" ht="22.5" customHeight="1">
      <c r="A112" s="17">
        <v>3.0</v>
      </c>
      <c r="B112" s="18" t="s">
        <v>32</v>
      </c>
      <c r="C112" s="17">
        <v>5.0</v>
      </c>
      <c r="D112" s="17" t="s">
        <v>38</v>
      </c>
      <c r="E112" s="18" t="s">
        <v>9</v>
      </c>
      <c r="F112" s="18" t="s">
        <v>23</v>
      </c>
      <c r="G112" s="17">
        <v>20.0</v>
      </c>
      <c r="H112" s="17">
        <v>5.0</v>
      </c>
      <c r="I112" s="17">
        <v>1.0</v>
      </c>
      <c r="J112" s="17">
        <v>2.0</v>
      </c>
      <c r="K112" s="17">
        <v>4.0</v>
      </c>
    </row>
    <row r="113" ht="22.5" customHeight="1">
      <c r="A113" s="17">
        <v>4.0</v>
      </c>
      <c r="B113" s="18" t="s">
        <v>32</v>
      </c>
      <c r="C113" s="17">
        <v>5.0</v>
      </c>
      <c r="D113" s="17" t="s">
        <v>38</v>
      </c>
      <c r="E113" s="18" t="s">
        <v>9</v>
      </c>
      <c r="F113" s="18" t="s">
        <v>23</v>
      </c>
      <c r="G113" s="17">
        <v>22.0</v>
      </c>
      <c r="H113" s="17">
        <v>6.0</v>
      </c>
      <c r="I113" s="17">
        <v>1.0</v>
      </c>
      <c r="J113" s="17">
        <v>2.0</v>
      </c>
      <c r="K113" s="17">
        <v>5.0</v>
      </c>
    </row>
    <row r="114" ht="22.5" customHeight="1">
      <c r="A114" s="17">
        <v>5.0</v>
      </c>
      <c r="B114" s="18" t="s">
        <v>32</v>
      </c>
      <c r="C114" s="17">
        <v>5.0</v>
      </c>
      <c r="D114" s="17" t="s">
        <v>38</v>
      </c>
      <c r="E114" s="18" t="s">
        <v>9</v>
      </c>
      <c r="F114" s="18" t="s">
        <v>23</v>
      </c>
      <c r="G114" s="17">
        <v>19.0</v>
      </c>
      <c r="H114" s="17">
        <v>4.0</v>
      </c>
      <c r="I114" s="17">
        <v>0.0</v>
      </c>
      <c r="J114" s="17">
        <v>1.0</v>
      </c>
      <c r="K114" s="17">
        <v>4.0</v>
      </c>
    </row>
    <row r="115" ht="22.5" customHeight="1">
      <c r="A115" s="17">
        <v>6.0</v>
      </c>
      <c r="B115" s="18" t="s">
        <v>32</v>
      </c>
      <c r="C115" s="17">
        <v>5.0</v>
      </c>
      <c r="D115" s="17" t="s">
        <v>38</v>
      </c>
      <c r="E115" s="18" t="s">
        <v>9</v>
      </c>
      <c r="F115" s="18" t="s">
        <v>24</v>
      </c>
      <c r="G115" s="17">
        <v>24.0</v>
      </c>
      <c r="H115" s="17">
        <v>6.0</v>
      </c>
      <c r="I115" s="17">
        <v>2.0</v>
      </c>
      <c r="J115" s="17">
        <v>3.0</v>
      </c>
      <c r="K115" s="17">
        <v>6.0</v>
      </c>
    </row>
    <row r="116" ht="22.5" customHeight="1">
      <c r="A116" s="17">
        <v>7.0</v>
      </c>
      <c r="B116" s="18" t="s">
        <v>34</v>
      </c>
      <c r="C116" s="17">
        <v>5.0</v>
      </c>
      <c r="D116" s="17" t="s">
        <v>38</v>
      </c>
      <c r="E116" s="18" t="s">
        <v>9</v>
      </c>
      <c r="F116" s="18" t="s">
        <v>23</v>
      </c>
      <c r="G116" s="17">
        <v>17.0</v>
      </c>
      <c r="H116" s="17">
        <v>2.0</v>
      </c>
      <c r="I116" s="17">
        <v>0.0</v>
      </c>
      <c r="J116" s="17">
        <v>1.0</v>
      </c>
      <c r="K116" s="17">
        <v>3.0</v>
      </c>
    </row>
    <row r="117" ht="22.5" customHeight="1">
      <c r="A117" s="17">
        <v>8.0</v>
      </c>
      <c r="B117" s="18" t="s">
        <v>34</v>
      </c>
      <c r="C117" s="17">
        <v>5.0</v>
      </c>
      <c r="D117" s="17" t="s">
        <v>38</v>
      </c>
      <c r="E117" s="18" t="s">
        <v>9</v>
      </c>
      <c r="F117" s="18" t="s">
        <v>23</v>
      </c>
      <c r="G117" s="17">
        <v>18.0</v>
      </c>
      <c r="H117" s="17">
        <v>3.0</v>
      </c>
      <c r="I117" s="17">
        <v>0.0</v>
      </c>
      <c r="J117" s="17">
        <v>1.0</v>
      </c>
      <c r="K117" s="17">
        <v>3.0</v>
      </c>
    </row>
    <row r="118" ht="22.5" customHeight="1">
      <c r="A118" s="17">
        <v>9.0</v>
      </c>
      <c r="B118" s="18" t="s">
        <v>34</v>
      </c>
      <c r="C118" s="17">
        <v>5.0</v>
      </c>
      <c r="D118" s="17" t="s">
        <v>38</v>
      </c>
      <c r="E118" s="18" t="s">
        <v>9</v>
      </c>
      <c r="F118" s="18" t="s">
        <v>23</v>
      </c>
      <c r="G118" s="17">
        <v>19.0</v>
      </c>
      <c r="H118" s="17">
        <v>3.0</v>
      </c>
      <c r="I118" s="17">
        <v>0.0</v>
      </c>
      <c r="J118" s="17">
        <v>1.0</v>
      </c>
      <c r="K118" s="17">
        <v>3.0</v>
      </c>
    </row>
    <row r="119" ht="22.5" customHeight="1">
      <c r="A119" s="17">
        <v>10.0</v>
      </c>
      <c r="B119" s="18" t="s">
        <v>34</v>
      </c>
      <c r="C119" s="17">
        <v>5.0</v>
      </c>
      <c r="D119" s="17" t="s">
        <v>38</v>
      </c>
      <c r="E119" s="18" t="s">
        <v>9</v>
      </c>
      <c r="F119" s="18" t="s">
        <v>23</v>
      </c>
      <c r="G119" s="17">
        <v>11.0</v>
      </c>
      <c r="H119" s="17">
        <v>1.0</v>
      </c>
      <c r="I119" s="17">
        <v>0.0</v>
      </c>
      <c r="J119" s="17">
        <v>1.0</v>
      </c>
      <c r="K119" s="17">
        <v>2.0</v>
      </c>
    </row>
    <row r="120" ht="22.5" customHeight="1">
      <c r="A120" s="17">
        <v>11.0</v>
      </c>
      <c r="B120" s="18" t="s">
        <v>34</v>
      </c>
      <c r="C120" s="17">
        <v>5.0</v>
      </c>
      <c r="D120" s="17" t="s">
        <v>38</v>
      </c>
      <c r="E120" s="18" t="s">
        <v>9</v>
      </c>
      <c r="F120" s="18" t="s">
        <v>23</v>
      </c>
      <c r="G120" s="17">
        <v>15.0</v>
      </c>
      <c r="H120" s="17">
        <v>1.0</v>
      </c>
      <c r="I120" s="17">
        <v>0.0</v>
      </c>
      <c r="J120" s="17">
        <v>1.0</v>
      </c>
      <c r="K120" s="17">
        <v>2.0</v>
      </c>
    </row>
    <row r="121" ht="22.5" customHeight="1">
      <c r="A121" s="17">
        <v>12.0</v>
      </c>
      <c r="B121" s="18" t="s">
        <v>34</v>
      </c>
      <c r="C121" s="17">
        <v>5.0</v>
      </c>
      <c r="D121" s="17" t="s">
        <v>38</v>
      </c>
      <c r="E121" s="18" t="s">
        <v>9</v>
      </c>
      <c r="F121" s="18" t="s">
        <v>23</v>
      </c>
      <c r="G121" s="17">
        <v>20.0</v>
      </c>
      <c r="H121" s="17">
        <v>4.0</v>
      </c>
      <c r="I121" s="17">
        <v>0.0</v>
      </c>
      <c r="J121" s="17">
        <v>1.0</v>
      </c>
      <c r="K121" s="17">
        <v>4.0</v>
      </c>
    </row>
    <row r="122" ht="22.5" customHeight="1">
      <c r="A122" s="17">
        <v>1.0</v>
      </c>
      <c r="B122" s="18" t="s">
        <v>32</v>
      </c>
      <c r="C122" s="17">
        <v>6.0</v>
      </c>
      <c r="D122" s="17" t="s">
        <v>39</v>
      </c>
      <c r="E122" s="18" t="s">
        <v>1</v>
      </c>
      <c r="F122" s="18" t="s">
        <v>23</v>
      </c>
      <c r="G122" s="17">
        <v>49.0</v>
      </c>
      <c r="H122" s="17">
        <v>11.0</v>
      </c>
      <c r="I122" s="17">
        <v>0.0</v>
      </c>
      <c r="J122" s="17">
        <v>2.0</v>
      </c>
      <c r="K122" s="17">
        <v>2.0</v>
      </c>
    </row>
    <row r="123" ht="22.5" customHeight="1">
      <c r="A123" s="17">
        <v>2.0</v>
      </c>
      <c r="B123" s="18" t="s">
        <v>32</v>
      </c>
      <c r="C123" s="17">
        <v>6.0</v>
      </c>
      <c r="D123" s="17" t="s">
        <v>39</v>
      </c>
      <c r="E123" s="18" t="s">
        <v>1</v>
      </c>
      <c r="F123" s="18" t="s">
        <v>23</v>
      </c>
      <c r="G123" s="17">
        <v>46.0</v>
      </c>
      <c r="H123" s="17">
        <v>9.0</v>
      </c>
      <c r="I123" s="17">
        <v>0.0</v>
      </c>
      <c r="J123" s="17">
        <v>2.0</v>
      </c>
      <c r="K123" s="17">
        <v>1.0</v>
      </c>
    </row>
    <row r="124" ht="22.5" customHeight="1">
      <c r="A124" s="17">
        <v>3.0</v>
      </c>
      <c r="B124" s="18" t="s">
        <v>32</v>
      </c>
      <c r="C124" s="17">
        <v>6.0</v>
      </c>
      <c r="D124" s="17" t="s">
        <v>39</v>
      </c>
      <c r="E124" s="18" t="s">
        <v>1</v>
      </c>
      <c r="F124" s="18" t="s">
        <v>23</v>
      </c>
      <c r="G124" s="17">
        <v>48.0</v>
      </c>
      <c r="H124" s="17">
        <v>10.0</v>
      </c>
      <c r="I124" s="17">
        <v>0.0</v>
      </c>
      <c r="J124" s="17">
        <v>2.0</v>
      </c>
      <c r="K124" s="17">
        <v>2.0</v>
      </c>
    </row>
    <row r="125" ht="22.5" customHeight="1">
      <c r="A125" s="17">
        <v>4.0</v>
      </c>
      <c r="B125" s="18" t="s">
        <v>32</v>
      </c>
      <c r="C125" s="17">
        <v>6.0</v>
      </c>
      <c r="D125" s="17" t="s">
        <v>39</v>
      </c>
      <c r="E125" s="18" t="s">
        <v>1</v>
      </c>
      <c r="F125" s="18" t="s">
        <v>23</v>
      </c>
      <c r="G125" s="17">
        <v>51.0</v>
      </c>
      <c r="H125" s="17">
        <v>12.0</v>
      </c>
      <c r="I125" s="17">
        <v>2.0</v>
      </c>
      <c r="J125" s="17">
        <v>2.0</v>
      </c>
      <c r="K125" s="17">
        <v>3.0</v>
      </c>
    </row>
    <row r="126" ht="22.5" customHeight="1">
      <c r="A126" s="17">
        <v>5.0</v>
      </c>
      <c r="B126" s="18" t="s">
        <v>32</v>
      </c>
      <c r="C126" s="17">
        <v>6.0</v>
      </c>
      <c r="D126" s="17" t="s">
        <v>39</v>
      </c>
      <c r="E126" s="18" t="s">
        <v>1</v>
      </c>
      <c r="F126" s="18" t="s">
        <v>23</v>
      </c>
      <c r="G126" s="17">
        <v>44.0</v>
      </c>
      <c r="H126" s="17">
        <v>9.0</v>
      </c>
      <c r="I126" s="17">
        <v>0.0</v>
      </c>
      <c r="J126" s="17">
        <v>1.0</v>
      </c>
      <c r="K126" s="17">
        <v>1.0</v>
      </c>
    </row>
    <row r="127" ht="22.5" customHeight="1">
      <c r="A127" s="17">
        <v>6.0</v>
      </c>
      <c r="B127" s="18" t="s">
        <v>32</v>
      </c>
      <c r="C127" s="17">
        <v>6.0</v>
      </c>
      <c r="D127" s="17" t="s">
        <v>39</v>
      </c>
      <c r="E127" s="18" t="s">
        <v>1</v>
      </c>
      <c r="F127" s="18" t="s">
        <v>23</v>
      </c>
      <c r="G127" s="17">
        <v>54.0</v>
      </c>
      <c r="H127" s="17">
        <v>19.0</v>
      </c>
      <c r="I127" s="17">
        <v>2.0</v>
      </c>
      <c r="J127" s="17">
        <v>3.0</v>
      </c>
      <c r="K127" s="17">
        <v>3.0</v>
      </c>
    </row>
    <row r="128" ht="22.5" customHeight="1">
      <c r="A128" s="17">
        <v>7.0</v>
      </c>
      <c r="B128" s="18" t="s">
        <v>34</v>
      </c>
      <c r="C128" s="17">
        <v>6.0</v>
      </c>
      <c r="D128" s="17" t="s">
        <v>39</v>
      </c>
      <c r="E128" s="18" t="s">
        <v>1</v>
      </c>
      <c r="F128" s="18" t="s">
        <v>23</v>
      </c>
      <c r="G128" s="17">
        <v>42.0</v>
      </c>
      <c r="H128" s="17">
        <v>8.0</v>
      </c>
      <c r="I128" s="17">
        <v>0.0</v>
      </c>
      <c r="J128" s="17">
        <v>1.0</v>
      </c>
      <c r="K128" s="17">
        <v>1.0</v>
      </c>
    </row>
    <row r="129" ht="22.5" customHeight="1">
      <c r="A129" s="17">
        <v>8.0</v>
      </c>
      <c r="B129" s="18" t="s">
        <v>34</v>
      </c>
      <c r="C129" s="17">
        <v>6.0</v>
      </c>
      <c r="D129" s="17" t="s">
        <v>39</v>
      </c>
      <c r="E129" s="18" t="s">
        <v>1</v>
      </c>
      <c r="F129" s="18" t="s">
        <v>23</v>
      </c>
      <c r="G129" s="17">
        <v>43.0</v>
      </c>
      <c r="H129" s="17">
        <v>8.0</v>
      </c>
      <c r="I129" s="17">
        <v>0.0</v>
      </c>
      <c r="J129" s="17">
        <v>1.0</v>
      </c>
      <c r="K129" s="17">
        <v>1.0</v>
      </c>
    </row>
    <row r="130" ht="22.5" customHeight="1">
      <c r="A130" s="17">
        <v>9.0</v>
      </c>
      <c r="B130" s="18" t="s">
        <v>34</v>
      </c>
      <c r="C130" s="17">
        <v>6.0</v>
      </c>
      <c r="D130" s="17" t="s">
        <v>39</v>
      </c>
      <c r="E130" s="18" t="s">
        <v>1</v>
      </c>
      <c r="F130" s="18" t="s">
        <v>23</v>
      </c>
      <c r="G130" s="17">
        <v>43.0</v>
      </c>
      <c r="H130" s="17">
        <v>8.0</v>
      </c>
      <c r="I130" s="17">
        <v>0.0</v>
      </c>
      <c r="J130" s="17">
        <v>1.0</v>
      </c>
      <c r="K130" s="17">
        <v>1.0</v>
      </c>
    </row>
    <row r="131" ht="22.5" customHeight="1">
      <c r="A131" s="17">
        <v>10.0</v>
      </c>
      <c r="B131" s="18" t="s">
        <v>34</v>
      </c>
      <c r="C131" s="17">
        <v>6.0</v>
      </c>
      <c r="D131" s="17" t="s">
        <v>39</v>
      </c>
      <c r="E131" s="18" t="s">
        <v>1</v>
      </c>
      <c r="F131" s="18" t="s">
        <v>23</v>
      </c>
      <c r="G131" s="17">
        <v>36.0</v>
      </c>
      <c r="H131" s="17">
        <v>6.0</v>
      </c>
      <c r="I131" s="17">
        <v>0.0</v>
      </c>
      <c r="J131" s="17">
        <v>1.0</v>
      </c>
      <c r="K131" s="17">
        <v>1.0</v>
      </c>
    </row>
    <row r="132" ht="22.5" customHeight="1">
      <c r="A132" s="17">
        <v>11.0</v>
      </c>
      <c r="B132" s="18" t="s">
        <v>34</v>
      </c>
      <c r="C132" s="17">
        <v>6.0</v>
      </c>
      <c r="D132" s="17" t="s">
        <v>39</v>
      </c>
      <c r="E132" s="18" t="s">
        <v>1</v>
      </c>
      <c r="F132" s="18" t="s">
        <v>23</v>
      </c>
      <c r="G132" s="17">
        <v>38.0</v>
      </c>
      <c r="H132" s="17">
        <v>7.0</v>
      </c>
      <c r="I132" s="17">
        <v>0.0</v>
      </c>
      <c r="J132" s="17">
        <v>1.0</v>
      </c>
      <c r="K132" s="17">
        <v>1.0</v>
      </c>
    </row>
    <row r="133" ht="22.5" customHeight="1">
      <c r="A133" s="17">
        <v>12.0</v>
      </c>
      <c r="B133" s="18" t="s">
        <v>34</v>
      </c>
      <c r="C133" s="17">
        <v>6.0</v>
      </c>
      <c r="D133" s="17" t="s">
        <v>39</v>
      </c>
      <c r="E133" s="18" t="s">
        <v>1</v>
      </c>
      <c r="F133" s="18" t="s">
        <v>23</v>
      </c>
      <c r="G133" s="17">
        <v>45.0</v>
      </c>
      <c r="H133" s="17">
        <v>9.0</v>
      </c>
      <c r="I133" s="17">
        <v>0.0</v>
      </c>
      <c r="J133" s="17">
        <v>1.0</v>
      </c>
      <c r="K133" s="17">
        <v>1.0</v>
      </c>
    </row>
    <row r="134" ht="22.5" customHeight="1">
      <c r="A134" s="17">
        <v>1.0</v>
      </c>
      <c r="B134" s="18" t="s">
        <v>32</v>
      </c>
      <c r="C134" s="17">
        <v>6.0</v>
      </c>
      <c r="D134" s="17" t="s">
        <v>39</v>
      </c>
      <c r="E134" s="18" t="s">
        <v>9</v>
      </c>
      <c r="F134" s="18" t="s">
        <v>23</v>
      </c>
      <c r="G134" s="17">
        <v>51.0</v>
      </c>
      <c r="H134" s="17">
        <v>10.0</v>
      </c>
      <c r="I134" s="17">
        <v>0.0</v>
      </c>
      <c r="J134" s="17">
        <v>2.0</v>
      </c>
      <c r="K134" s="17">
        <v>5.0</v>
      </c>
    </row>
    <row r="135" ht="22.5" customHeight="1">
      <c r="A135" s="17">
        <v>2.0</v>
      </c>
      <c r="B135" s="18" t="s">
        <v>32</v>
      </c>
      <c r="C135" s="17">
        <v>6.0</v>
      </c>
      <c r="D135" s="17" t="s">
        <v>39</v>
      </c>
      <c r="E135" s="18" t="s">
        <v>9</v>
      </c>
      <c r="F135" s="18" t="s">
        <v>23</v>
      </c>
      <c r="G135" s="17">
        <v>46.0</v>
      </c>
      <c r="H135" s="17">
        <v>9.0</v>
      </c>
      <c r="I135" s="17">
        <v>0.0</v>
      </c>
      <c r="J135" s="17">
        <v>1.0</v>
      </c>
      <c r="K135" s="17">
        <v>5.0</v>
      </c>
    </row>
    <row r="136" ht="22.5" customHeight="1">
      <c r="A136" s="17">
        <v>3.0</v>
      </c>
      <c r="B136" s="18" t="s">
        <v>32</v>
      </c>
      <c r="C136" s="17">
        <v>6.0</v>
      </c>
      <c r="D136" s="17" t="s">
        <v>39</v>
      </c>
      <c r="E136" s="18" t="s">
        <v>9</v>
      </c>
      <c r="F136" s="18" t="s">
        <v>23</v>
      </c>
      <c r="G136" s="17">
        <v>47.0</v>
      </c>
      <c r="H136" s="17">
        <v>10.0</v>
      </c>
      <c r="I136" s="17">
        <v>0.0</v>
      </c>
      <c r="J136" s="17">
        <v>2.0</v>
      </c>
      <c r="K136" s="17">
        <v>5.0</v>
      </c>
    </row>
    <row r="137" ht="22.5" customHeight="1">
      <c r="A137" s="17">
        <v>4.0</v>
      </c>
      <c r="B137" s="18" t="s">
        <v>32</v>
      </c>
      <c r="C137" s="17">
        <v>6.0</v>
      </c>
      <c r="D137" s="17" t="s">
        <v>39</v>
      </c>
      <c r="E137" s="18" t="s">
        <v>9</v>
      </c>
      <c r="F137" s="18" t="s">
        <v>23</v>
      </c>
      <c r="G137" s="17">
        <v>51.0</v>
      </c>
      <c r="H137" s="17">
        <v>10.0</v>
      </c>
      <c r="I137" s="17">
        <v>1.0</v>
      </c>
      <c r="J137" s="17">
        <v>2.0</v>
      </c>
      <c r="K137" s="17">
        <v>8.0</v>
      </c>
    </row>
    <row r="138" ht="22.5" customHeight="1">
      <c r="A138" s="17">
        <v>5.0</v>
      </c>
      <c r="B138" s="18" t="s">
        <v>32</v>
      </c>
      <c r="C138" s="17">
        <v>6.0</v>
      </c>
      <c r="D138" s="17" t="s">
        <v>39</v>
      </c>
      <c r="E138" s="18" t="s">
        <v>9</v>
      </c>
      <c r="F138" s="18" t="s">
        <v>23</v>
      </c>
      <c r="G138" s="17">
        <v>41.0</v>
      </c>
      <c r="H138" s="17">
        <v>9.0</v>
      </c>
      <c r="I138" s="17">
        <v>0.0</v>
      </c>
      <c r="J138" s="17">
        <v>1.0</v>
      </c>
      <c r="K138" s="17">
        <v>4.0</v>
      </c>
    </row>
    <row r="139" ht="22.5" customHeight="1">
      <c r="A139" s="17">
        <v>6.0</v>
      </c>
      <c r="B139" s="18" t="s">
        <v>32</v>
      </c>
      <c r="C139" s="17">
        <v>6.0</v>
      </c>
      <c r="D139" s="17" t="s">
        <v>39</v>
      </c>
      <c r="E139" s="18" t="s">
        <v>9</v>
      </c>
      <c r="F139" s="18" t="s">
        <v>23</v>
      </c>
      <c r="G139" s="17">
        <v>60.0</v>
      </c>
      <c r="H139" s="17">
        <v>16.0</v>
      </c>
      <c r="I139" s="17">
        <v>1.0</v>
      </c>
      <c r="J139" s="17">
        <v>3.0</v>
      </c>
      <c r="K139" s="17">
        <v>8.0</v>
      </c>
    </row>
    <row r="140" ht="22.5" customHeight="1">
      <c r="A140" s="17">
        <v>7.0</v>
      </c>
      <c r="B140" s="18" t="s">
        <v>34</v>
      </c>
      <c r="C140" s="17">
        <v>6.0</v>
      </c>
      <c r="D140" s="17" t="s">
        <v>39</v>
      </c>
      <c r="E140" s="18" t="s">
        <v>9</v>
      </c>
      <c r="F140" s="18" t="s">
        <v>23</v>
      </c>
      <c r="G140" s="17">
        <v>39.0</v>
      </c>
      <c r="H140" s="17">
        <v>8.0</v>
      </c>
      <c r="I140" s="17">
        <v>0.0</v>
      </c>
      <c r="J140" s="17">
        <v>1.0</v>
      </c>
      <c r="K140" s="17">
        <v>3.0</v>
      </c>
    </row>
    <row r="141" ht="22.5" customHeight="1">
      <c r="A141" s="17">
        <v>8.0</v>
      </c>
      <c r="B141" s="18" t="s">
        <v>34</v>
      </c>
      <c r="C141" s="17">
        <v>6.0</v>
      </c>
      <c r="D141" s="17" t="s">
        <v>39</v>
      </c>
      <c r="E141" s="18" t="s">
        <v>9</v>
      </c>
      <c r="F141" s="18" t="s">
        <v>23</v>
      </c>
      <c r="G141" s="17">
        <v>39.0</v>
      </c>
      <c r="H141" s="17">
        <v>8.0</v>
      </c>
      <c r="I141" s="17">
        <v>0.0</v>
      </c>
      <c r="J141" s="17">
        <v>1.0</v>
      </c>
      <c r="K141" s="17">
        <v>3.0</v>
      </c>
    </row>
    <row r="142" ht="22.5" customHeight="1">
      <c r="A142" s="17">
        <v>9.0</v>
      </c>
      <c r="B142" s="18" t="s">
        <v>34</v>
      </c>
      <c r="C142" s="17">
        <v>6.0</v>
      </c>
      <c r="D142" s="17" t="s">
        <v>39</v>
      </c>
      <c r="E142" s="18" t="s">
        <v>9</v>
      </c>
      <c r="F142" s="18" t="s">
        <v>23</v>
      </c>
      <c r="G142" s="17">
        <v>41.0</v>
      </c>
      <c r="H142" s="17">
        <v>8.0</v>
      </c>
      <c r="I142" s="17">
        <v>0.0</v>
      </c>
      <c r="J142" s="17">
        <v>1.0</v>
      </c>
      <c r="K142" s="17">
        <v>4.0</v>
      </c>
    </row>
    <row r="143" ht="22.5" customHeight="1">
      <c r="A143" s="17">
        <v>10.0</v>
      </c>
      <c r="B143" s="18" t="s">
        <v>34</v>
      </c>
      <c r="C143" s="17">
        <v>6.0</v>
      </c>
      <c r="D143" s="17" t="s">
        <v>39</v>
      </c>
      <c r="E143" s="18" t="s">
        <v>9</v>
      </c>
      <c r="F143" s="18" t="s">
        <v>23</v>
      </c>
      <c r="G143" s="17">
        <v>34.0</v>
      </c>
      <c r="H143" s="17">
        <v>5.0</v>
      </c>
      <c r="I143" s="17">
        <v>0.0</v>
      </c>
      <c r="J143" s="17">
        <v>1.0</v>
      </c>
      <c r="K143" s="17">
        <v>2.0</v>
      </c>
    </row>
    <row r="144" ht="22.5" customHeight="1">
      <c r="A144" s="17">
        <v>11.0</v>
      </c>
      <c r="B144" s="18" t="s">
        <v>34</v>
      </c>
      <c r="C144" s="17">
        <v>6.0</v>
      </c>
      <c r="D144" s="17" t="s">
        <v>39</v>
      </c>
      <c r="E144" s="18" t="s">
        <v>9</v>
      </c>
      <c r="F144" s="18" t="s">
        <v>23</v>
      </c>
      <c r="G144" s="17">
        <v>36.0</v>
      </c>
      <c r="H144" s="17">
        <v>5.0</v>
      </c>
      <c r="I144" s="17">
        <v>0.0</v>
      </c>
      <c r="J144" s="17">
        <v>1.0</v>
      </c>
      <c r="K144" s="17">
        <v>3.0</v>
      </c>
    </row>
    <row r="145" ht="22.5" customHeight="1">
      <c r="A145" s="17">
        <v>12.0</v>
      </c>
      <c r="B145" s="18" t="s">
        <v>34</v>
      </c>
      <c r="C145" s="17">
        <v>6.0</v>
      </c>
      <c r="D145" s="17" t="s">
        <v>39</v>
      </c>
      <c r="E145" s="18" t="s">
        <v>9</v>
      </c>
      <c r="F145" s="18" t="s">
        <v>23</v>
      </c>
      <c r="G145" s="17">
        <v>43.0</v>
      </c>
      <c r="H145" s="17">
        <v>9.0</v>
      </c>
      <c r="I145" s="17">
        <v>0.0</v>
      </c>
      <c r="J145" s="17">
        <v>1.0</v>
      </c>
      <c r="K145" s="17">
        <v>4.0</v>
      </c>
    </row>
    <row r="146" ht="22.5" customHeight="1">
      <c r="A146" s="17">
        <v>1.0</v>
      </c>
      <c r="B146" s="18" t="s">
        <v>32</v>
      </c>
      <c r="C146" s="17">
        <v>7.0</v>
      </c>
      <c r="D146" s="17" t="s">
        <v>40</v>
      </c>
      <c r="E146" s="18" t="s">
        <v>1</v>
      </c>
      <c r="F146" s="18" t="s">
        <v>25</v>
      </c>
      <c r="G146" s="17">
        <v>89.0</v>
      </c>
      <c r="H146" s="17">
        <v>12.0</v>
      </c>
      <c r="I146" s="17">
        <v>3.0</v>
      </c>
      <c r="J146" s="17">
        <v>4.0</v>
      </c>
      <c r="K146" s="17">
        <v>2.0</v>
      </c>
    </row>
    <row r="147" ht="22.5" customHeight="1">
      <c r="A147" s="17">
        <v>2.0</v>
      </c>
      <c r="B147" s="18" t="s">
        <v>32</v>
      </c>
      <c r="C147" s="17">
        <v>7.0</v>
      </c>
      <c r="D147" s="17" t="s">
        <v>40</v>
      </c>
      <c r="E147" s="18" t="s">
        <v>1</v>
      </c>
      <c r="F147" s="18" t="s">
        <v>24</v>
      </c>
      <c r="G147" s="17">
        <v>79.0</v>
      </c>
      <c r="H147" s="17">
        <v>11.0</v>
      </c>
      <c r="I147" s="17">
        <v>3.0</v>
      </c>
      <c r="J147" s="17">
        <v>4.0</v>
      </c>
      <c r="K147" s="17">
        <v>2.0</v>
      </c>
    </row>
    <row r="148" ht="22.5" customHeight="1">
      <c r="A148" s="17">
        <v>3.0</v>
      </c>
      <c r="B148" s="18" t="s">
        <v>32</v>
      </c>
      <c r="C148" s="17">
        <v>7.0</v>
      </c>
      <c r="D148" s="17" t="s">
        <v>40</v>
      </c>
      <c r="E148" s="18" t="s">
        <v>1</v>
      </c>
      <c r="F148" s="18" t="s">
        <v>24</v>
      </c>
      <c r="G148" s="17">
        <v>83.0</v>
      </c>
      <c r="H148" s="17">
        <v>12.0</v>
      </c>
      <c r="I148" s="17">
        <v>3.0</v>
      </c>
      <c r="J148" s="17">
        <v>4.0</v>
      </c>
      <c r="K148" s="17">
        <v>2.0</v>
      </c>
    </row>
    <row r="149" ht="22.5" customHeight="1">
      <c r="A149" s="17">
        <v>4.0</v>
      </c>
      <c r="B149" s="18" t="s">
        <v>32</v>
      </c>
      <c r="C149" s="17">
        <v>7.0</v>
      </c>
      <c r="D149" s="17" t="s">
        <v>40</v>
      </c>
      <c r="E149" s="18" t="s">
        <v>1</v>
      </c>
      <c r="F149" s="18" t="s">
        <v>25</v>
      </c>
      <c r="G149" s="17">
        <v>89.0</v>
      </c>
      <c r="H149" s="17">
        <v>12.0</v>
      </c>
      <c r="I149" s="17">
        <v>4.0</v>
      </c>
      <c r="J149" s="17">
        <v>5.0</v>
      </c>
      <c r="K149" s="17">
        <v>2.0</v>
      </c>
    </row>
    <row r="150" ht="22.5" customHeight="1">
      <c r="A150" s="17">
        <v>5.0</v>
      </c>
      <c r="B150" s="18" t="s">
        <v>32</v>
      </c>
      <c r="C150" s="17">
        <v>7.0</v>
      </c>
      <c r="D150" s="17" t="s">
        <v>40</v>
      </c>
      <c r="E150" s="18" t="s">
        <v>1</v>
      </c>
      <c r="F150" s="18" t="s">
        <v>24</v>
      </c>
      <c r="G150" s="17">
        <v>74.0</v>
      </c>
      <c r="H150" s="17">
        <v>9.0</v>
      </c>
      <c r="I150" s="17">
        <v>2.0</v>
      </c>
      <c r="J150" s="17">
        <v>4.0</v>
      </c>
      <c r="K150" s="17">
        <v>1.0</v>
      </c>
    </row>
    <row r="151" ht="22.5" customHeight="1">
      <c r="A151" s="17">
        <v>6.0</v>
      </c>
      <c r="B151" s="18" t="s">
        <v>32</v>
      </c>
      <c r="C151" s="17">
        <v>7.0</v>
      </c>
      <c r="D151" s="17" t="s">
        <v>40</v>
      </c>
      <c r="E151" s="18" t="s">
        <v>1</v>
      </c>
      <c r="F151" s="18" t="s">
        <v>25</v>
      </c>
      <c r="G151" s="17">
        <v>90.0</v>
      </c>
      <c r="H151" s="17">
        <v>17.0</v>
      </c>
      <c r="I151" s="17">
        <v>4.0</v>
      </c>
      <c r="J151" s="17">
        <v>5.0</v>
      </c>
      <c r="K151" s="17">
        <v>4.0</v>
      </c>
    </row>
    <row r="152" ht="22.5" customHeight="1">
      <c r="A152" s="17">
        <v>7.0</v>
      </c>
      <c r="B152" s="18" t="s">
        <v>34</v>
      </c>
      <c r="C152" s="17">
        <v>7.0</v>
      </c>
      <c r="D152" s="17" t="s">
        <v>40</v>
      </c>
      <c r="E152" s="18" t="s">
        <v>1</v>
      </c>
      <c r="F152" s="18" t="s">
        <v>23</v>
      </c>
      <c r="G152" s="17">
        <v>71.0</v>
      </c>
      <c r="H152" s="17">
        <v>8.0</v>
      </c>
      <c r="I152" s="17">
        <v>1.0</v>
      </c>
      <c r="J152" s="17">
        <v>3.0</v>
      </c>
      <c r="K152" s="17">
        <v>1.0</v>
      </c>
    </row>
    <row r="153" ht="22.5" customHeight="1">
      <c r="A153" s="17">
        <v>8.0</v>
      </c>
      <c r="B153" s="18" t="s">
        <v>34</v>
      </c>
      <c r="C153" s="17">
        <v>7.0</v>
      </c>
      <c r="D153" s="17" t="s">
        <v>40</v>
      </c>
      <c r="E153" s="18" t="s">
        <v>1</v>
      </c>
      <c r="F153" s="18" t="s">
        <v>23</v>
      </c>
      <c r="G153" s="17">
        <v>72.0</v>
      </c>
      <c r="H153" s="17">
        <v>9.0</v>
      </c>
      <c r="I153" s="17">
        <v>2.0</v>
      </c>
      <c r="J153" s="17">
        <v>4.0</v>
      </c>
      <c r="K153" s="17">
        <v>1.0</v>
      </c>
    </row>
    <row r="154" ht="22.5" customHeight="1">
      <c r="A154" s="17">
        <v>9.0</v>
      </c>
      <c r="B154" s="18" t="s">
        <v>34</v>
      </c>
      <c r="C154" s="17">
        <v>7.0</v>
      </c>
      <c r="D154" s="17" t="s">
        <v>40</v>
      </c>
      <c r="E154" s="18" t="s">
        <v>1</v>
      </c>
      <c r="F154" s="18" t="s">
        <v>23</v>
      </c>
      <c r="G154" s="17">
        <v>74.0</v>
      </c>
      <c r="H154" s="17">
        <v>9.0</v>
      </c>
      <c r="I154" s="17">
        <v>2.0</v>
      </c>
      <c r="J154" s="17">
        <v>4.0</v>
      </c>
      <c r="K154" s="17">
        <v>1.0</v>
      </c>
    </row>
    <row r="155" ht="22.5" customHeight="1">
      <c r="A155" s="17">
        <v>10.0</v>
      </c>
      <c r="B155" s="18" t="s">
        <v>34</v>
      </c>
      <c r="C155" s="17">
        <v>7.0</v>
      </c>
      <c r="D155" s="17" t="s">
        <v>40</v>
      </c>
      <c r="E155" s="18" t="s">
        <v>1</v>
      </c>
      <c r="F155" s="18" t="s">
        <v>23</v>
      </c>
      <c r="G155" s="17">
        <v>64.0</v>
      </c>
      <c r="H155" s="17">
        <v>5.0</v>
      </c>
      <c r="I155" s="17">
        <v>1.0</v>
      </c>
      <c r="J155" s="17">
        <v>2.0</v>
      </c>
      <c r="K155" s="17">
        <v>1.0</v>
      </c>
    </row>
    <row r="156" ht="22.5" customHeight="1">
      <c r="A156" s="17">
        <v>11.0</v>
      </c>
      <c r="B156" s="18" t="s">
        <v>34</v>
      </c>
      <c r="C156" s="17">
        <v>7.0</v>
      </c>
      <c r="D156" s="17" t="s">
        <v>40</v>
      </c>
      <c r="E156" s="18" t="s">
        <v>1</v>
      </c>
      <c r="F156" s="18" t="s">
        <v>23</v>
      </c>
      <c r="G156" s="17">
        <v>69.0</v>
      </c>
      <c r="H156" s="17">
        <v>5.0</v>
      </c>
      <c r="I156" s="17">
        <v>1.0</v>
      </c>
      <c r="J156" s="17">
        <v>2.0</v>
      </c>
      <c r="K156" s="17">
        <v>1.0</v>
      </c>
    </row>
    <row r="157" ht="22.5" customHeight="1">
      <c r="A157" s="17">
        <v>12.0</v>
      </c>
      <c r="B157" s="18" t="s">
        <v>34</v>
      </c>
      <c r="C157" s="17">
        <v>7.0</v>
      </c>
      <c r="D157" s="17" t="s">
        <v>40</v>
      </c>
      <c r="E157" s="18" t="s">
        <v>1</v>
      </c>
      <c r="F157" s="18" t="s">
        <v>24</v>
      </c>
      <c r="G157" s="17">
        <v>76.0</v>
      </c>
      <c r="H157" s="17">
        <v>10.0</v>
      </c>
      <c r="I157" s="17">
        <v>2.0</v>
      </c>
      <c r="J157" s="17">
        <v>4.0</v>
      </c>
      <c r="K157" s="17">
        <v>1.0</v>
      </c>
    </row>
    <row r="158" ht="22.5" customHeight="1">
      <c r="A158" s="17">
        <v>1.0</v>
      </c>
      <c r="B158" s="18" t="s">
        <v>32</v>
      </c>
      <c r="C158" s="17">
        <v>7.0</v>
      </c>
      <c r="D158" s="17" t="s">
        <v>40</v>
      </c>
      <c r="E158" s="18" t="s">
        <v>9</v>
      </c>
      <c r="F158" s="18" t="s">
        <v>24</v>
      </c>
      <c r="G158" s="17">
        <v>82.0</v>
      </c>
      <c r="H158" s="17">
        <v>11.0</v>
      </c>
      <c r="I158" s="17">
        <v>2.0</v>
      </c>
      <c r="J158" s="17">
        <v>5.0</v>
      </c>
      <c r="K158" s="17">
        <v>3.0</v>
      </c>
    </row>
    <row r="159" ht="22.5" customHeight="1">
      <c r="A159" s="17">
        <v>2.0</v>
      </c>
      <c r="B159" s="18" t="s">
        <v>32</v>
      </c>
      <c r="C159" s="17">
        <v>7.0</v>
      </c>
      <c r="D159" s="17" t="s">
        <v>40</v>
      </c>
      <c r="E159" s="18" t="s">
        <v>9</v>
      </c>
      <c r="F159" s="18" t="s">
        <v>24</v>
      </c>
      <c r="G159" s="17">
        <v>78.0</v>
      </c>
      <c r="H159" s="17">
        <v>10.0</v>
      </c>
      <c r="I159" s="17">
        <v>2.0</v>
      </c>
      <c r="J159" s="17">
        <v>4.0</v>
      </c>
      <c r="K159" s="17">
        <v>2.0</v>
      </c>
    </row>
    <row r="160" ht="22.5" customHeight="1">
      <c r="A160" s="17">
        <v>3.0</v>
      </c>
      <c r="B160" s="18" t="s">
        <v>32</v>
      </c>
      <c r="C160" s="17">
        <v>7.0</v>
      </c>
      <c r="D160" s="17" t="s">
        <v>40</v>
      </c>
      <c r="E160" s="18" t="s">
        <v>9</v>
      </c>
      <c r="F160" s="18" t="s">
        <v>24</v>
      </c>
      <c r="G160" s="17">
        <v>80.0</v>
      </c>
      <c r="H160" s="17">
        <v>10.0</v>
      </c>
      <c r="I160" s="17">
        <v>2.0</v>
      </c>
      <c r="J160" s="17">
        <v>5.0</v>
      </c>
      <c r="K160" s="17">
        <v>3.0</v>
      </c>
    </row>
    <row r="161" ht="22.5" customHeight="1">
      <c r="A161" s="17">
        <v>4.0</v>
      </c>
      <c r="B161" s="18" t="s">
        <v>32</v>
      </c>
      <c r="C161" s="17">
        <v>7.0</v>
      </c>
      <c r="D161" s="17" t="s">
        <v>40</v>
      </c>
      <c r="E161" s="18" t="s">
        <v>9</v>
      </c>
      <c r="F161" s="18" t="s">
        <v>25</v>
      </c>
      <c r="G161" s="17">
        <v>82.0</v>
      </c>
      <c r="H161" s="17">
        <v>13.0</v>
      </c>
      <c r="I161" s="17">
        <v>3.0</v>
      </c>
      <c r="J161" s="17">
        <v>5.0</v>
      </c>
      <c r="K161" s="17">
        <v>3.0</v>
      </c>
    </row>
    <row r="162" ht="22.5" customHeight="1">
      <c r="A162" s="17">
        <v>5.0</v>
      </c>
      <c r="B162" s="18" t="s">
        <v>32</v>
      </c>
      <c r="C162" s="17">
        <v>7.0</v>
      </c>
      <c r="D162" s="17" t="s">
        <v>40</v>
      </c>
      <c r="E162" s="18" t="s">
        <v>9</v>
      </c>
      <c r="F162" s="18" t="s">
        <v>24</v>
      </c>
      <c r="G162" s="17">
        <v>76.0</v>
      </c>
      <c r="H162" s="17">
        <v>8.0</v>
      </c>
      <c r="I162" s="17">
        <v>2.0</v>
      </c>
      <c r="J162" s="17">
        <v>4.0</v>
      </c>
      <c r="K162" s="17">
        <v>2.0</v>
      </c>
    </row>
    <row r="163" ht="22.5" customHeight="1">
      <c r="A163" s="17">
        <v>6.0</v>
      </c>
      <c r="B163" s="18" t="s">
        <v>32</v>
      </c>
      <c r="C163" s="17">
        <v>7.0</v>
      </c>
      <c r="D163" s="17" t="s">
        <v>40</v>
      </c>
      <c r="E163" s="18" t="s">
        <v>9</v>
      </c>
      <c r="F163" s="18" t="s">
        <v>25</v>
      </c>
      <c r="G163" s="17">
        <v>83.0</v>
      </c>
      <c r="H163" s="17">
        <v>16.0</v>
      </c>
      <c r="I163" s="17">
        <v>5.0</v>
      </c>
      <c r="J163" s="17">
        <v>5.0</v>
      </c>
      <c r="K163" s="17">
        <v>3.0</v>
      </c>
    </row>
    <row r="164" ht="22.5" customHeight="1">
      <c r="A164" s="17">
        <v>7.0</v>
      </c>
      <c r="B164" s="18" t="s">
        <v>34</v>
      </c>
      <c r="C164" s="17">
        <v>7.0</v>
      </c>
      <c r="D164" s="17" t="s">
        <v>40</v>
      </c>
      <c r="E164" s="18" t="s">
        <v>9</v>
      </c>
      <c r="F164" s="18" t="s">
        <v>23</v>
      </c>
      <c r="G164" s="17">
        <v>71.0</v>
      </c>
      <c r="H164" s="17">
        <v>7.0</v>
      </c>
      <c r="I164" s="17">
        <v>1.0</v>
      </c>
      <c r="J164" s="17">
        <v>2.0</v>
      </c>
      <c r="K164" s="17">
        <v>1.0</v>
      </c>
    </row>
    <row r="165" ht="22.5" customHeight="1">
      <c r="A165" s="17">
        <v>8.0</v>
      </c>
      <c r="B165" s="18" t="s">
        <v>34</v>
      </c>
      <c r="C165" s="17">
        <v>7.0</v>
      </c>
      <c r="D165" s="17" t="s">
        <v>40</v>
      </c>
      <c r="E165" s="18" t="s">
        <v>9</v>
      </c>
      <c r="F165" s="18" t="s">
        <v>23</v>
      </c>
      <c r="G165" s="17">
        <v>74.0</v>
      </c>
      <c r="H165" s="17">
        <v>8.0</v>
      </c>
      <c r="I165" s="17">
        <v>2.0</v>
      </c>
      <c r="J165" s="17">
        <v>2.0</v>
      </c>
      <c r="K165" s="17">
        <v>1.0</v>
      </c>
    </row>
    <row r="166" ht="22.5" customHeight="1">
      <c r="A166" s="17">
        <v>9.0</v>
      </c>
      <c r="B166" s="18" t="s">
        <v>34</v>
      </c>
      <c r="C166" s="17">
        <v>7.0</v>
      </c>
      <c r="D166" s="17" t="s">
        <v>40</v>
      </c>
      <c r="E166" s="18" t="s">
        <v>9</v>
      </c>
      <c r="F166" s="18" t="s">
        <v>23</v>
      </c>
      <c r="G166" s="17">
        <v>76.0</v>
      </c>
      <c r="H166" s="17">
        <v>8.0</v>
      </c>
      <c r="I166" s="17">
        <v>2.0</v>
      </c>
      <c r="J166" s="17">
        <v>3.0</v>
      </c>
      <c r="K166" s="17">
        <v>1.0</v>
      </c>
    </row>
    <row r="167" ht="22.5" customHeight="1">
      <c r="A167" s="17">
        <v>10.0</v>
      </c>
      <c r="B167" s="18" t="s">
        <v>34</v>
      </c>
      <c r="C167" s="17">
        <v>7.0</v>
      </c>
      <c r="D167" s="17" t="s">
        <v>40</v>
      </c>
      <c r="E167" s="18" t="s">
        <v>9</v>
      </c>
      <c r="F167" s="18" t="s">
        <v>23</v>
      </c>
      <c r="G167" s="17">
        <v>56.0</v>
      </c>
      <c r="H167" s="17">
        <v>6.0</v>
      </c>
      <c r="I167" s="17">
        <v>1.0</v>
      </c>
      <c r="J167" s="17">
        <v>1.0</v>
      </c>
      <c r="K167" s="17">
        <v>1.0</v>
      </c>
    </row>
    <row r="168" ht="22.5" customHeight="1">
      <c r="A168" s="17">
        <v>11.0</v>
      </c>
      <c r="B168" s="18" t="s">
        <v>34</v>
      </c>
      <c r="C168" s="17">
        <v>7.0</v>
      </c>
      <c r="D168" s="17" t="s">
        <v>40</v>
      </c>
      <c r="E168" s="18" t="s">
        <v>9</v>
      </c>
      <c r="F168" s="18" t="s">
        <v>23</v>
      </c>
      <c r="G168" s="17">
        <v>64.0</v>
      </c>
      <c r="H168" s="17">
        <v>7.0</v>
      </c>
      <c r="I168" s="17">
        <v>1.0</v>
      </c>
      <c r="J168" s="17">
        <v>2.0</v>
      </c>
      <c r="K168" s="17">
        <v>1.0</v>
      </c>
    </row>
    <row r="169" ht="22.5" customHeight="1">
      <c r="A169" s="17">
        <v>12.0</v>
      </c>
      <c r="B169" s="18" t="s">
        <v>34</v>
      </c>
      <c r="C169" s="17">
        <v>7.0</v>
      </c>
      <c r="D169" s="17" t="s">
        <v>40</v>
      </c>
      <c r="E169" s="18" t="s">
        <v>9</v>
      </c>
      <c r="F169" s="18" t="s">
        <v>24</v>
      </c>
      <c r="G169" s="17">
        <v>77.0</v>
      </c>
      <c r="H169" s="17">
        <v>9.0</v>
      </c>
      <c r="I169" s="17">
        <v>2.0</v>
      </c>
      <c r="J169" s="17">
        <v>4.0</v>
      </c>
      <c r="K169" s="17">
        <v>2.0</v>
      </c>
    </row>
    <row r="170" ht="22.5" customHeight="1">
      <c r="A170" s="17">
        <v>1.0</v>
      </c>
      <c r="B170" s="18" t="s">
        <v>32</v>
      </c>
      <c r="C170" s="17">
        <v>8.0</v>
      </c>
      <c r="D170" s="17" t="s">
        <v>41</v>
      </c>
      <c r="E170" s="18" t="s">
        <v>1</v>
      </c>
      <c r="F170" s="18" t="s">
        <v>23</v>
      </c>
      <c r="G170" s="17">
        <v>46.0</v>
      </c>
      <c r="H170" s="17">
        <v>10.0</v>
      </c>
      <c r="I170" s="17">
        <v>0.0</v>
      </c>
      <c r="J170" s="17">
        <v>1.0</v>
      </c>
      <c r="K170" s="17">
        <v>6.0</v>
      </c>
    </row>
    <row r="171" ht="22.5" customHeight="1">
      <c r="A171" s="17">
        <v>2.0</v>
      </c>
      <c r="B171" s="18" t="s">
        <v>32</v>
      </c>
      <c r="C171" s="17">
        <v>8.0</v>
      </c>
      <c r="D171" s="17" t="s">
        <v>41</v>
      </c>
      <c r="E171" s="18" t="s">
        <v>1</v>
      </c>
      <c r="F171" s="18" t="s">
        <v>23</v>
      </c>
      <c r="G171" s="17">
        <v>43.0</v>
      </c>
      <c r="H171" s="17">
        <v>9.0</v>
      </c>
      <c r="I171" s="17">
        <v>0.0</v>
      </c>
      <c r="J171" s="17">
        <v>1.0</v>
      </c>
      <c r="K171" s="17">
        <v>6.0</v>
      </c>
    </row>
    <row r="172" ht="22.5" customHeight="1">
      <c r="A172" s="17">
        <v>3.0</v>
      </c>
      <c r="B172" s="18" t="s">
        <v>32</v>
      </c>
      <c r="C172" s="17">
        <v>8.0</v>
      </c>
      <c r="D172" s="17" t="s">
        <v>41</v>
      </c>
      <c r="E172" s="18" t="s">
        <v>1</v>
      </c>
      <c r="F172" s="18" t="s">
        <v>23</v>
      </c>
      <c r="G172" s="17">
        <v>45.0</v>
      </c>
      <c r="H172" s="17">
        <v>10.0</v>
      </c>
      <c r="I172" s="17">
        <v>0.0</v>
      </c>
      <c r="J172" s="17">
        <v>1.0</v>
      </c>
      <c r="K172" s="17">
        <v>6.0</v>
      </c>
    </row>
    <row r="173" ht="22.5" customHeight="1">
      <c r="A173" s="17">
        <v>4.0</v>
      </c>
      <c r="B173" s="18" t="s">
        <v>32</v>
      </c>
      <c r="C173" s="17">
        <v>8.0</v>
      </c>
      <c r="D173" s="17" t="s">
        <v>41</v>
      </c>
      <c r="E173" s="18" t="s">
        <v>1</v>
      </c>
      <c r="F173" s="18" t="s">
        <v>23</v>
      </c>
      <c r="G173" s="17">
        <v>46.0</v>
      </c>
      <c r="H173" s="17">
        <v>11.0</v>
      </c>
      <c r="I173" s="17">
        <v>0.0</v>
      </c>
      <c r="J173" s="17">
        <v>2.0</v>
      </c>
      <c r="K173" s="17">
        <v>6.0</v>
      </c>
    </row>
    <row r="174" ht="22.5" customHeight="1">
      <c r="A174" s="17">
        <v>5.0</v>
      </c>
      <c r="B174" s="18" t="s">
        <v>32</v>
      </c>
      <c r="C174" s="17">
        <v>8.0</v>
      </c>
      <c r="D174" s="17" t="s">
        <v>41</v>
      </c>
      <c r="E174" s="18" t="s">
        <v>1</v>
      </c>
      <c r="F174" s="18" t="s">
        <v>23</v>
      </c>
      <c r="G174" s="17">
        <v>38.0</v>
      </c>
      <c r="H174" s="17">
        <v>8.0</v>
      </c>
      <c r="I174" s="17">
        <v>0.0</v>
      </c>
      <c r="J174" s="17">
        <v>1.0</v>
      </c>
      <c r="K174" s="17">
        <v>4.0</v>
      </c>
    </row>
    <row r="175" ht="22.5" customHeight="1">
      <c r="A175" s="17">
        <v>6.0</v>
      </c>
      <c r="B175" s="18" t="s">
        <v>32</v>
      </c>
      <c r="C175" s="17">
        <v>8.0</v>
      </c>
      <c r="D175" s="17" t="s">
        <v>41</v>
      </c>
      <c r="E175" s="18" t="s">
        <v>1</v>
      </c>
      <c r="F175" s="18" t="s">
        <v>24</v>
      </c>
      <c r="G175" s="17">
        <v>51.0</v>
      </c>
      <c r="H175" s="17">
        <v>12.0</v>
      </c>
      <c r="I175" s="17">
        <v>1.0</v>
      </c>
      <c r="J175" s="17">
        <v>2.0</v>
      </c>
      <c r="K175" s="17">
        <v>7.0</v>
      </c>
    </row>
    <row r="176" ht="22.5" customHeight="1">
      <c r="A176" s="17">
        <v>7.0</v>
      </c>
      <c r="B176" s="18" t="s">
        <v>34</v>
      </c>
      <c r="C176" s="17">
        <v>8.0</v>
      </c>
      <c r="D176" s="17" t="s">
        <v>41</v>
      </c>
      <c r="E176" s="18" t="s">
        <v>1</v>
      </c>
      <c r="F176" s="18" t="s">
        <v>23</v>
      </c>
      <c r="G176" s="17">
        <v>34.0</v>
      </c>
      <c r="H176" s="17">
        <v>6.0</v>
      </c>
      <c r="I176" s="17">
        <v>0.0</v>
      </c>
      <c r="J176" s="17">
        <v>1.0</v>
      </c>
      <c r="K176" s="17">
        <v>3.0</v>
      </c>
    </row>
    <row r="177" ht="22.5" customHeight="1">
      <c r="A177" s="17">
        <v>8.0</v>
      </c>
      <c r="B177" s="18" t="s">
        <v>34</v>
      </c>
      <c r="C177" s="17">
        <v>8.0</v>
      </c>
      <c r="D177" s="17" t="s">
        <v>41</v>
      </c>
      <c r="E177" s="18" t="s">
        <v>1</v>
      </c>
      <c r="F177" s="18" t="s">
        <v>23</v>
      </c>
      <c r="G177" s="17">
        <v>37.0</v>
      </c>
      <c r="H177" s="17">
        <v>7.0</v>
      </c>
      <c r="I177" s="17">
        <v>0.0</v>
      </c>
      <c r="J177" s="17">
        <v>1.0</v>
      </c>
      <c r="K177" s="17">
        <v>3.0</v>
      </c>
    </row>
    <row r="178" ht="22.5" customHeight="1">
      <c r="A178" s="17">
        <v>9.0</v>
      </c>
      <c r="B178" s="18" t="s">
        <v>34</v>
      </c>
      <c r="C178" s="17">
        <v>8.0</v>
      </c>
      <c r="D178" s="17" t="s">
        <v>41</v>
      </c>
      <c r="E178" s="18" t="s">
        <v>1</v>
      </c>
      <c r="F178" s="18" t="s">
        <v>23</v>
      </c>
      <c r="G178" s="17">
        <v>37.0</v>
      </c>
      <c r="H178" s="17">
        <v>8.0</v>
      </c>
      <c r="I178" s="17">
        <v>0.0</v>
      </c>
      <c r="J178" s="17">
        <v>1.0</v>
      </c>
      <c r="K178" s="17">
        <v>4.0</v>
      </c>
    </row>
    <row r="179" ht="22.5" customHeight="1">
      <c r="A179" s="17">
        <v>10.0</v>
      </c>
      <c r="B179" s="18" t="s">
        <v>34</v>
      </c>
      <c r="C179" s="17">
        <v>8.0</v>
      </c>
      <c r="D179" s="17" t="s">
        <v>41</v>
      </c>
      <c r="E179" s="18" t="s">
        <v>1</v>
      </c>
      <c r="F179" s="18" t="s">
        <v>23</v>
      </c>
      <c r="G179" s="17">
        <v>29.0</v>
      </c>
      <c r="H179" s="17">
        <v>5.0</v>
      </c>
      <c r="I179" s="17">
        <v>0.0</v>
      </c>
      <c r="J179" s="17">
        <v>1.0</v>
      </c>
      <c r="K179" s="17">
        <v>2.0</v>
      </c>
    </row>
    <row r="180" ht="22.5" customHeight="1">
      <c r="A180" s="17">
        <v>11.0</v>
      </c>
      <c r="B180" s="18" t="s">
        <v>34</v>
      </c>
      <c r="C180" s="17">
        <v>8.0</v>
      </c>
      <c r="D180" s="17" t="s">
        <v>41</v>
      </c>
      <c r="E180" s="18" t="s">
        <v>1</v>
      </c>
      <c r="F180" s="18" t="s">
        <v>23</v>
      </c>
      <c r="G180" s="17">
        <v>31.0</v>
      </c>
      <c r="H180" s="17">
        <v>6.0</v>
      </c>
      <c r="I180" s="17">
        <v>0.0</v>
      </c>
      <c r="J180" s="17">
        <v>1.0</v>
      </c>
      <c r="K180" s="17">
        <v>2.0</v>
      </c>
    </row>
    <row r="181" ht="22.5" customHeight="1">
      <c r="A181" s="17">
        <v>12.0</v>
      </c>
      <c r="B181" s="18" t="s">
        <v>34</v>
      </c>
      <c r="C181" s="17">
        <v>8.0</v>
      </c>
      <c r="D181" s="17" t="s">
        <v>41</v>
      </c>
      <c r="E181" s="18" t="s">
        <v>1</v>
      </c>
      <c r="F181" s="18" t="s">
        <v>23</v>
      </c>
      <c r="G181" s="17">
        <v>40.0</v>
      </c>
      <c r="H181" s="17">
        <v>8.0</v>
      </c>
      <c r="I181" s="17">
        <v>0.0</v>
      </c>
      <c r="J181" s="17">
        <v>1.0</v>
      </c>
      <c r="K181" s="17">
        <v>5.0</v>
      </c>
    </row>
    <row r="182" ht="22.5" customHeight="1">
      <c r="A182" s="17">
        <v>1.0</v>
      </c>
      <c r="B182" s="18" t="s">
        <v>32</v>
      </c>
      <c r="C182" s="17">
        <v>8.0</v>
      </c>
      <c r="D182" s="17" t="s">
        <v>41</v>
      </c>
      <c r="E182" s="18" t="s">
        <v>9</v>
      </c>
      <c r="F182" s="18" t="s">
        <v>23</v>
      </c>
      <c r="G182" s="17">
        <v>44.0</v>
      </c>
      <c r="H182" s="17">
        <v>9.0</v>
      </c>
      <c r="I182" s="17">
        <v>0.0</v>
      </c>
      <c r="J182" s="17">
        <v>1.0</v>
      </c>
      <c r="K182" s="17">
        <v>6.0</v>
      </c>
    </row>
    <row r="183" ht="22.5" customHeight="1">
      <c r="A183" s="17">
        <v>2.0</v>
      </c>
      <c r="B183" s="18" t="s">
        <v>32</v>
      </c>
      <c r="C183" s="17">
        <v>8.0</v>
      </c>
      <c r="D183" s="17" t="s">
        <v>41</v>
      </c>
      <c r="E183" s="18" t="s">
        <v>9</v>
      </c>
      <c r="F183" s="18" t="s">
        <v>23</v>
      </c>
      <c r="G183" s="17">
        <v>41.0</v>
      </c>
      <c r="H183" s="17">
        <v>8.0</v>
      </c>
      <c r="I183" s="17">
        <v>0.0</v>
      </c>
      <c r="J183" s="17">
        <v>1.0</v>
      </c>
      <c r="K183" s="17">
        <v>6.0</v>
      </c>
    </row>
    <row r="184" ht="22.5" customHeight="1">
      <c r="A184" s="17">
        <v>3.0</v>
      </c>
      <c r="B184" s="18" t="s">
        <v>32</v>
      </c>
      <c r="C184" s="17">
        <v>8.0</v>
      </c>
      <c r="D184" s="17" t="s">
        <v>41</v>
      </c>
      <c r="E184" s="18" t="s">
        <v>9</v>
      </c>
      <c r="F184" s="18" t="s">
        <v>23</v>
      </c>
      <c r="G184" s="17">
        <v>44.0</v>
      </c>
      <c r="H184" s="17">
        <v>9.0</v>
      </c>
      <c r="I184" s="17">
        <v>0.0</v>
      </c>
      <c r="J184" s="17">
        <v>1.0</v>
      </c>
      <c r="K184" s="17">
        <v>6.0</v>
      </c>
    </row>
    <row r="185" ht="22.5" customHeight="1">
      <c r="A185" s="17">
        <v>4.0</v>
      </c>
      <c r="B185" s="18" t="s">
        <v>32</v>
      </c>
      <c r="C185" s="17">
        <v>8.0</v>
      </c>
      <c r="D185" s="17" t="s">
        <v>41</v>
      </c>
      <c r="E185" s="18" t="s">
        <v>9</v>
      </c>
      <c r="F185" s="18" t="s">
        <v>23</v>
      </c>
      <c r="G185" s="17">
        <v>46.0</v>
      </c>
      <c r="H185" s="17">
        <v>9.0</v>
      </c>
      <c r="I185" s="17">
        <v>0.0</v>
      </c>
      <c r="J185" s="17">
        <v>1.0</v>
      </c>
      <c r="K185" s="17">
        <v>7.0</v>
      </c>
    </row>
    <row r="186" ht="22.5" customHeight="1">
      <c r="A186" s="17">
        <v>5.0</v>
      </c>
      <c r="B186" s="18" t="s">
        <v>32</v>
      </c>
      <c r="C186" s="17">
        <v>8.0</v>
      </c>
      <c r="D186" s="17" t="s">
        <v>41</v>
      </c>
      <c r="E186" s="18" t="s">
        <v>9</v>
      </c>
      <c r="F186" s="18" t="s">
        <v>23</v>
      </c>
      <c r="G186" s="17">
        <v>40.0</v>
      </c>
      <c r="H186" s="17">
        <v>7.0</v>
      </c>
      <c r="I186" s="17">
        <v>0.0</v>
      </c>
      <c r="J186" s="17">
        <v>1.0</v>
      </c>
      <c r="K186" s="17">
        <v>5.0</v>
      </c>
    </row>
    <row r="187" ht="22.5" customHeight="1">
      <c r="A187" s="17">
        <v>6.0</v>
      </c>
      <c r="B187" s="18" t="s">
        <v>32</v>
      </c>
      <c r="C187" s="17">
        <v>8.0</v>
      </c>
      <c r="D187" s="17" t="s">
        <v>41</v>
      </c>
      <c r="E187" s="18" t="s">
        <v>9</v>
      </c>
      <c r="F187" s="18" t="s">
        <v>24</v>
      </c>
      <c r="G187" s="17">
        <v>53.0</v>
      </c>
      <c r="H187" s="17">
        <v>10.0</v>
      </c>
      <c r="I187" s="17">
        <v>1.0</v>
      </c>
      <c r="J187" s="17">
        <v>2.0</v>
      </c>
      <c r="K187" s="17">
        <v>7.0</v>
      </c>
    </row>
    <row r="188" ht="22.5" customHeight="1">
      <c r="A188" s="17">
        <v>7.0</v>
      </c>
      <c r="B188" s="18" t="s">
        <v>34</v>
      </c>
      <c r="C188" s="17">
        <v>8.0</v>
      </c>
      <c r="D188" s="17" t="s">
        <v>41</v>
      </c>
      <c r="E188" s="18" t="s">
        <v>9</v>
      </c>
      <c r="F188" s="18" t="s">
        <v>23</v>
      </c>
      <c r="G188" s="17">
        <v>31.0</v>
      </c>
      <c r="H188" s="17">
        <v>5.0</v>
      </c>
      <c r="I188" s="17">
        <v>0.0</v>
      </c>
      <c r="J188" s="17">
        <v>1.0</v>
      </c>
      <c r="K188" s="17">
        <v>3.0</v>
      </c>
    </row>
    <row r="189" ht="22.5" customHeight="1">
      <c r="A189" s="17">
        <v>8.0</v>
      </c>
      <c r="B189" s="18" t="s">
        <v>34</v>
      </c>
      <c r="C189" s="17">
        <v>8.0</v>
      </c>
      <c r="D189" s="17" t="s">
        <v>41</v>
      </c>
      <c r="E189" s="18" t="s">
        <v>9</v>
      </c>
      <c r="F189" s="18" t="s">
        <v>23</v>
      </c>
      <c r="G189" s="17">
        <v>35.0</v>
      </c>
      <c r="H189" s="17">
        <v>6.0</v>
      </c>
      <c r="I189" s="17">
        <v>0.0</v>
      </c>
      <c r="J189" s="17">
        <v>1.0</v>
      </c>
      <c r="K189" s="17">
        <v>4.0</v>
      </c>
    </row>
    <row r="190" ht="22.5" customHeight="1">
      <c r="A190" s="17">
        <v>9.0</v>
      </c>
      <c r="B190" s="18" t="s">
        <v>34</v>
      </c>
      <c r="C190" s="17">
        <v>8.0</v>
      </c>
      <c r="D190" s="17" t="s">
        <v>41</v>
      </c>
      <c r="E190" s="18" t="s">
        <v>9</v>
      </c>
      <c r="F190" s="18" t="s">
        <v>23</v>
      </c>
      <c r="G190" s="17">
        <v>37.0</v>
      </c>
      <c r="H190" s="17">
        <v>6.0</v>
      </c>
      <c r="I190" s="17">
        <v>0.0</v>
      </c>
      <c r="J190" s="17">
        <v>1.0</v>
      </c>
      <c r="K190" s="17">
        <v>4.0</v>
      </c>
    </row>
    <row r="191" ht="22.5" customHeight="1">
      <c r="A191" s="17">
        <v>10.0</v>
      </c>
      <c r="B191" s="18" t="s">
        <v>34</v>
      </c>
      <c r="C191" s="17">
        <v>8.0</v>
      </c>
      <c r="D191" s="17" t="s">
        <v>41</v>
      </c>
      <c r="E191" s="18" t="s">
        <v>9</v>
      </c>
      <c r="F191" s="18" t="s">
        <v>23</v>
      </c>
      <c r="G191" s="17">
        <v>27.0</v>
      </c>
      <c r="H191" s="17">
        <v>4.0</v>
      </c>
      <c r="I191" s="17">
        <v>0.0</v>
      </c>
      <c r="J191" s="17">
        <v>1.0</v>
      </c>
      <c r="K191" s="17">
        <v>1.0</v>
      </c>
    </row>
    <row r="192" ht="22.5" customHeight="1">
      <c r="A192" s="17">
        <v>11.0</v>
      </c>
      <c r="B192" s="18" t="s">
        <v>34</v>
      </c>
      <c r="C192" s="17">
        <v>8.0</v>
      </c>
      <c r="D192" s="17" t="s">
        <v>41</v>
      </c>
      <c r="E192" s="18" t="s">
        <v>9</v>
      </c>
      <c r="F192" s="18" t="s">
        <v>23</v>
      </c>
      <c r="G192" s="17">
        <v>28.0</v>
      </c>
      <c r="H192" s="17">
        <v>5.0</v>
      </c>
      <c r="I192" s="17">
        <v>0.0</v>
      </c>
      <c r="J192" s="17">
        <v>1.0</v>
      </c>
      <c r="K192" s="17">
        <v>2.0</v>
      </c>
    </row>
    <row r="193" ht="22.5" customHeight="1">
      <c r="A193" s="17">
        <v>12.0</v>
      </c>
      <c r="B193" s="18" t="s">
        <v>34</v>
      </c>
      <c r="C193" s="17">
        <v>8.0</v>
      </c>
      <c r="D193" s="17" t="s">
        <v>41</v>
      </c>
      <c r="E193" s="18" t="s">
        <v>9</v>
      </c>
      <c r="F193" s="18" t="s">
        <v>23</v>
      </c>
      <c r="G193" s="17">
        <v>41.0</v>
      </c>
      <c r="H193" s="17">
        <v>8.0</v>
      </c>
      <c r="I193" s="17">
        <v>0.0</v>
      </c>
      <c r="J193" s="17">
        <v>1.0</v>
      </c>
      <c r="K193" s="17">
        <v>6.0</v>
      </c>
    </row>
    <row r="194" ht="22.5" customHeight="1">
      <c r="A194" s="17">
        <v>1.0</v>
      </c>
      <c r="B194" s="18" t="s">
        <v>32</v>
      </c>
      <c r="C194" s="17">
        <v>9.0</v>
      </c>
      <c r="D194" s="17" t="s">
        <v>42</v>
      </c>
      <c r="E194" s="18" t="s">
        <v>1</v>
      </c>
      <c r="F194" s="18" t="s">
        <v>25</v>
      </c>
      <c r="G194" s="17">
        <v>121.0</v>
      </c>
      <c r="H194" s="17">
        <v>21.0</v>
      </c>
      <c r="I194" s="17">
        <v>9.0</v>
      </c>
      <c r="J194" s="17">
        <v>6.0</v>
      </c>
      <c r="K194" s="17">
        <v>2.0</v>
      </c>
    </row>
    <row r="195" ht="22.5" customHeight="1">
      <c r="A195" s="17">
        <v>2.0</v>
      </c>
      <c r="B195" s="18" t="s">
        <v>32</v>
      </c>
      <c r="C195" s="17">
        <v>9.0</v>
      </c>
      <c r="D195" s="17" t="s">
        <v>42</v>
      </c>
      <c r="E195" s="18" t="s">
        <v>1</v>
      </c>
      <c r="F195" s="18" t="s">
        <v>24</v>
      </c>
      <c r="G195" s="17">
        <v>117.0</v>
      </c>
      <c r="H195" s="17">
        <v>18.0</v>
      </c>
      <c r="I195" s="17">
        <v>9.0</v>
      </c>
      <c r="J195" s="17">
        <v>4.0</v>
      </c>
      <c r="K195" s="17">
        <v>1.0</v>
      </c>
    </row>
    <row r="196" ht="22.5" customHeight="1">
      <c r="A196" s="17">
        <v>3.0</v>
      </c>
      <c r="B196" s="18" t="s">
        <v>32</v>
      </c>
      <c r="C196" s="17">
        <v>9.0</v>
      </c>
      <c r="D196" s="17" t="s">
        <v>42</v>
      </c>
      <c r="E196" s="18" t="s">
        <v>1</v>
      </c>
      <c r="F196" s="18" t="s">
        <v>24</v>
      </c>
      <c r="G196" s="17">
        <v>120.0</v>
      </c>
      <c r="H196" s="17">
        <v>18.0</v>
      </c>
      <c r="I196" s="17">
        <v>9.0</v>
      </c>
      <c r="J196" s="17">
        <v>6.0</v>
      </c>
      <c r="K196" s="17">
        <v>2.0</v>
      </c>
    </row>
    <row r="197" ht="22.5" customHeight="1">
      <c r="A197" s="17">
        <v>4.0</v>
      </c>
      <c r="B197" s="18" t="s">
        <v>32</v>
      </c>
      <c r="C197" s="17">
        <v>9.0</v>
      </c>
      <c r="D197" s="17" t="s">
        <v>42</v>
      </c>
      <c r="E197" s="18" t="s">
        <v>1</v>
      </c>
      <c r="F197" s="18" t="s">
        <v>25</v>
      </c>
      <c r="G197" s="17">
        <v>131.0</v>
      </c>
      <c r="H197" s="17">
        <v>21.0</v>
      </c>
      <c r="I197" s="17">
        <v>10.0</v>
      </c>
      <c r="J197" s="17">
        <v>6.0</v>
      </c>
      <c r="K197" s="17">
        <v>2.0</v>
      </c>
    </row>
    <row r="198" ht="22.5" customHeight="1">
      <c r="A198" s="17">
        <v>5.0</v>
      </c>
      <c r="B198" s="18" t="s">
        <v>32</v>
      </c>
      <c r="C198" s="17">
        <v>9.0</v>
      </c>
      <c r="D198" s="17" t="s">
        <v>42</v>
      </c>
      <c r="E198" s="18" t="s">
        <v>1</v>
      </c>
      <c r="F198" s="18" t="s">
        <v>24</v>
      </c>
      <c r="G198" s="17">
        <v>111.0</v>
      </c>
      <c r="H198" s="17">
        <v>18.0</v>
      </c>
      <c r="I198" s="17">
        <v>8.0</v>
      </c>
      <c r="J198" s="17">
        <v>3.0</v>
      </c>
      <c r="K198" s="17">
        <v>1.0</v>
      </c>
    </row>
    <row r="199" ht="22.5" customHeight="1">
      <c r="A199" s="17">
        <v>6.0</v>
      </c>
      <c r="B199" s="18" t="s">
        <v>32</v>
      </c>
      <c r="C199" s="17">
        <v>9.0</v>
      </c>
      <c r="D199" s="17" t="s">
        <v>42</v>
      </c>
      <c r="E199" s="18" t="s">
        <v>1</v>
      </c>
      <c r="F199" s="18" t="s">
        <v>25</v>
      </c>
      <c r="G199" s="17">
        <v>134.0</v>
      </c>
      <c r="H199" s="17">
        <v>31.0</v>
      </c>
      <c r="I199" s="17">
        <v>11.0</v>
      </c>
      <c r="J199" s="17">
        <v>8.0</v>
      </c>
      <c r="K199" s="17">
        <v>3.0</v>
      </c>
    </row>
    <row r="200" ht="22.5" customHeight="1">
      <c r="A200" s="17">
        <v>7.0</v>
      </c>
      <c r="B200" s="18" t="s">
        <v>34</v>
      </c>
      <c r="C200" s="17">
        <v>9.0</v>
      </c>
      <c r="D200" s="17" t="s">
        <v>42</v>
      </c>
      <c r="E200" s="18" t="s">
        <v>1</v>
      </c>
      <c r="F200" s="18" t="s">
        <v>23</v>
      </c>
      <c r="G200" s="17">
        <v>104.0</v>
      </c>
      <c r="H200" s="17">
        <v>16.0</v>
      </c>
      <c r="I200" s="17">
        <v>6.0</v>
      </c>
      <c r="J200" s="17">
        <v>3.0</v>
      </c>
      <c r="K200" s="17">
        <v>1.0</v>
      </c>
    </row>
    <row r="201" ht="22.5" customHeight="1">
      <c r="A201" s="17">
        <v>8.0</v>
      </c>
      <c r="B201" s="18" t="s">
        <v>34</v>
      </c>
      <c r="C201" s="17">
        <v>9.0</v>
      </c>
      <c r="D201" s="17" t="s">
        <v>42</v>
      </c>
      <c r="E201" s="18" t="s">
        <v>1</v>
      </c>
      <c r="F201" s="18" t="s">
        <v>23</v>
      </c>
      <c r="G201" s="17">
        <v>105.0</v>
      </c>
      <c r="H201" s="17">
        <v>16.0</v>
      </c>
      <c r="I201" s="17">
        <v>6.0</v>
      </c>
      <c r="J201" s="17">
        <v>3.0</v>
      </c>
      <c r="K201" s="17">
        <v>1.0</v>
      </c>
    </row>
    <row r="202" ht="22.5" customHeight="1">
      <c r="A202" s="17">
        <v>9.0</v>
      </c>
      <c r="B202" s="18" t="s">
        <v>34</v>
      </c>
      <c r="C202" s="17">
        <v>9.0</v>
      </c>
      <c r="D202" s="17" t="s">
        <v>42</v>
      </c>
      <c r="E202" s="18" t="s">
        <v>1</v>
      </c>
      <c r="F202" s="18" t="s">
        <v>24</v>
      </c>
      <c r="G202" s="17">
        <v>111.0</v>
      </c>
      <c r="H202" s="17">
        <v>17.0</v>
      </c>
      <c r="I202" s="17">
        <v>7.0</v>
      </c>
      <c r="J202" s="17">
        <v>3.0</v>
      </c>
      <c r="K202" s="17">
        <v>1.0</v>
      </c>
    </row>
    <row r="203" ht="22.5" customHeight="1">
      <c r="A203" s="17">
        <v>10.0</v>
      </c>
      <c r="B203" s="18" t="s">
        <v>34</v>
      </c>
      <c r="C203" s="17">
        <v>9.0</v>
      </c>
      <c r="D203" s="17" t="s">
        <v>42</v>
      </c>
      <c r="E203" s="18" t="s">
        <v>1</v>
      </c>
      <c r="F203" s="18" t="s">
        <v>23</v>
      </c>
      <c r="G203" s="17">
        <v>88.0</v>
      </c>
      <c r="H203" s="17">
        <v>14.0</v>
      </c>
      <c r="I203" s="17">
        <v>5.0</v>
      </c>
      <c r="J203" s="17">
        <v>2.0</v>
      </c>
      <c r="K203" s="17">
        <v>1.0</v>
      </c>
    </row>
    <row r="204" ht="22.5" customHeight="1">
      <c r="A204" s="17">
        <v>11.0</v>
      </c>
      <c r="B204" s="18" t="s">
        <v>34</v>
      </c>
      <c r="C204" s="17">
        <v>9.0</v>
      </c>
      <c r="D204" s="17" t="s">
        <v>42</v>
      </c>
      <c r="E204" s="18" t="s">
        <v>1</v>
      </c>
      <c r="F204" s="18" t="s">
        <v>23</v>
      </c>
      <c r="G204" s="17">
        <v>100.0</v>
      </c>
      <c r="H204" s="17">
        <v>16.0</v>
      </c>
      <c r="I204" s="17">
        <v>5.0</v>
      </c>
      <c r="J204" s="17">
        <v>2.0</v>
      </c>
      <c r="K204" s="17">
        <v>1.0</v>
      </c>
    </row>
    <row r="205" ht="22.5" customHeight="1">
      <c r="A205" s="17">
        <v>12.0</v>
      </c>
      <c r="B205" s="18" t="s">
        <v>34</v>
      </c>
      <c r="C205" s="17">
        <v>9.0</v>
      </c>
      <c r="D205" s="17" t="s">
        <v>42</v>
      </c>
      <c r="E205" s="18" t="s">
        <v>1</v>
      </c>
      <c r="F205" s="18" t="s">
        <v>24</v>
      </c>
      <c r="G205" s="17">
        <v>114.0</v>
      </c>
      <c r="H205" s="17">
        <v>18.0</v>
      </c>
      <c r="I205" s="17">
        <v>8.0</v>
      </c>
      <c r="J205" s="17">
        <v>4.0</v>
      </c>
      <c r="K205" s="17">
        <v>1.0</v>
      </c>
    </row>
    <row r="206" ht="22.5" customHeight="1">
      <c r="A206" s="17">
        <v>1.0</v>
      </c>
      <c r="B206" s="18" t="s">
        <v>32</v>
      </c>
      <c r="C206" s="17">
        <v>9.0</v>
      </c>
      <c r="D206" s="17" t="s">
        <v>42</v>
      </c>
      <c r="E206" s="18" t="s">
        <v>9</v>
      </c>
      <c r="F206" s="18" t="s">
        <v>24</v>
      </c>
      <c r="G206" s="17">
        <v>110.0</v>
      </c>
      <c r="H206" s="17">
        <v>21.0</v>
      </c>
      <c r="I206" s="17">
        <v>9.0</v>
      </c>
      <c r="J206" s="17">
        <v>5.0</v>
      </c>
      <c r="K206" s="17">
        <v>2.0</v>
      </c>
    </row>
    <row r="207" ht="22.5" customHeight="1">
      <c r="A207" s="17">
        <v>2.0</v>
      </c>
      <c r="B207" s="18" t="s">
        <v>32</v>
      </c>
      <c r="C207" s="17">
        <v>9.0</v>
      </c>
      <c r="D207" s="17" t="s">
        <v>42</v>
      </c>
      <c r="E207" s="18" t="s">
        <v>9</v>
      </c>
      <c r="F207" s="18" t="s">
        <v>24</v>
      </c>
      <c r="G207" s="17">
        <v>105.0</v>
      </c>
      <c r="H207" s="17">
        <v>19.0</v>
      </c>
      <c r="I207" s="17">
        <v>8.0</v>
      </c>
      <c r="J207" s="17">
        <v>4.0</v>
      </c>
      <c r="K207" s="17">
        <v>2.0</v>
      </c>
    </row>
    <row r="208" ht="22.5" customHeight="1">
      <c r="A208" s="17">
        <v>3.0</v>
      </c>
      <c r="B208" s="18" t="s">
        <v>32</v>
      </c>
      <c r="C208" s="17">
        <v>9.0</v>
      </c>
      <c r="D208" s="17" t="s">
        <v>42</v>
      </c>
      <c r="E208" s="18" t="s">
        <v>9</v>
      </c>
      <c r="F208" s="18" t="s">
        <v>24</v>
      </c>
      <c r="G208" s="17">
        <v>105.0</v>
      </c>
      <c r="H208" s="17">
        <v>19.0</v>
      </c>
      <c r="I208" s="17">
        <v>9.0</v>
      </c>
      <c r="J208" s="17">
        <v>4.0</v>
      </c>
      <c r="K208" s="17">
        <v>2.0</v>
      </c>
    </row>
    <row r="209" ht="22.5" customHeight="1">
      <c r="A209" s="17">
        <v>4.0</v>
      </c>
      <c r="B209" s="18" t="s">
        <v>32</v>
      </c>
      <c r="C209" s="17">
        <v>9.0</v>
      </c>
      <c r="D209" s="17" t="s">
        <v>42</v>
      </c>
      <c r="E209" s="18" t="s">
        <v>9</v>
      </c>
      <c r="F209" s="18" t="s">
        <v>25</v>
      </c>
      <c r="G209" s="17">
        <v>111.0</v>
      </c>
      <c r="H209" s="17">
        <v>23.0</v>
      </c>
      <c r="I209" s="17">
        <v>9.0</v>
      </c>
      <c r="J209" s="17">
        <v>5.0</v>
      </c>
      <c r="K209" s="17">
        <v>3.0</v>
      </c>
    </row>
    <row r="210" ht="22.5" customHeight="1">
      <c r="A210" s="17">
        <v>5.0</v>
      </c>
      <c r="B210" s="18" t="s">
        <v>32</v>
      </c>
      <c r="C210" s="17">
        <v>9.0</v>
      </c>
      <c r="D210" s="17" t="s">
        <v>42</v>
      </c>
      <c r="E210" s="18" t="s">
        <v>9</v>
      </c>
      <c r="F210" s="18" t="s">
        <v>24</v>
      </c>
      <c r="G210" s="17">
        <v>104.0</v>
      </c>
      <c r="H210" s="17">
        <v>16.0</v>
      </c>
      <c r="I210" s="17">
        <v>7.0</v>
      </c>
      <c r="J210" s="17">
        <v>4.0</v>
      </c>
      <c r="K210" s="17">
        <v>1.0</v>
      </c>
    </row>
    <row r="211" ht="22.5" customHeight="1">
      <c r="A211" s="17">
        <v>6.0</v>
      </c>
      <c r="B211" s="18" t="s">
        <v>32</v>
      </c>
      <c r="C211" s="17">
        <v>9.0</v>
      </c>
      <c r="D211" s="17" t="s">
        <v>42</v>
      </c>
      <c r="E211" s="18" t="s">
        <v>9</v>
      </c>
      <c r="F211" s="18" t="s">
        <v>25</v>
      </c>
      <c r="G211" s="17">
        <v>126.0</v>
      </c>
      <c r="H211" s="17">
        <v>24.0</v>
      </c>
      <c r="I211" s="17">
        <v>10.0</v>
      </c>
      <c r="J211" s="17">
        <v>6.0</v>
      </c>
      <c r="K211" s="17">
        <v>3.0</v>
      </c>
    </row>
    <row r="212" ht="22.5" customHeight="1">
      <c r="A212" s="17">
        <v>7.0</v>
      </c>
      <c r="B212" s="18" t="s">
        <v>34</v>
      </c>
      <c r="C212" s="17">
        <v>9.0</v>
      </c>
      <c r="D212" s="17" t="s">
        <v>42</v>
      </c>
      <c r="E212" s="18" t="s">
        <v>9</v>
      </c>
      <c r="F212" s="18" t="s">
        <v>23</v>
      </c>
      <c r="G212" s="17">
        <v>94.0</v>
      </c>
      <c r="H212" s="17">
        <v>13.0</v>
      </c>
      <c r="I212" s="17">
        <v>4.0</v>
      </c>
      <c r="J212" s="17">
        <v>3.0</v>
      </c>
      <c r="K212" s="17">
        <v>1.0</v>
      </c>
    </row>
    <row r="213" ht="22.5" customHeight="1">
      <c r="A213" s="17">
        <v>8.0</v>
      </c>
      <c r="B213" s="18" t="s">
        <v>34</v>
      </c>
      <c r="C213" s="17">
        <v>9.0</v>
      </c>
      <c r="D213" s="17" t="s">
        <v>42</v>
      </c>
      <c r="E213" s="18" t="s">
        <v>9</v>
      </c>
      <c r="F213" s="18" t="s">
        <v>23</v>
      </c>
      <c r="G213" s="17">
        <v>98.0</v>
      </c>
      <c r="H213" s="17">
        <v>16.0</v>
      </c>
      <c r="I213" s="17">
        <v>4.0</v>
      </c>
      <c r="J213" s="17">
        <v>4.0</v>
      </c>
      <c r="K213" s="17">
        <v>1.0</v>
      </c>
    </row>
    <row r="214" ht="22.5" customHeight="1">
      <c r="A214" s="17">
        <v>9.0</v>
      </c>
      <c r="B214" s="18" t="s">
        <v>34</v>
      </c>
      <c r="C214" s="17">
        <v>9.0</v>
      </c>
      <c r="D214" s="17" t="s">
        <v>42</v>
      </c>
      <c r="E214" s="18" t="s">
        <v>9</v>
      </c>
      <c r="F214" s="18" t="s">
        <v>24</v>
      </c>
      <c r="G214" s="17">
        <v>104.0</v>
      </c>
      <c r="H214" s="17">
        <v>16.0</v>
      </c>
      <c r="I214" s="17">
        <v>6.0</v>
      </c>
      <c r="J214" s="17">
        <v>4.0</v>
      </c>
      <c r="K214" s="17">
        <v>1.0</v>
      </c>
    </row>
    <row r="215" ht="22.5" customHeight="1">
      <c r="A215" s="17">
        <v>10.0</v>
      </c>
      <c r="B215" s="18" t="s">
        <v>34</v>
      </c>
      <c r="C215" s="17">
        <v>9.0</v>
      </c>
      <c r="D215" s="17" t="s">
        <v>42</v>
      </c>
      <c r="E215" s="18" t="s">
        <v>9</v>
      </c>
      <c r="F215" s="18" t="s">
        <v>23</v>
      </c>
      <c r="G215" s="17">
        <v>91.0</v>
      </c>
      <c r="H215" s="17">
        <v>9.0</v>
      </c>
      <c r="I215" s="17">
        <v>3.0</v>
      </c>
      <c r="J215" s="17">
        <v>2.0</v>
      </c>
      <c r="K215" s="17">
        <v>1.0</v>
      </c>
    </row>
    <row r="216" ht="22.5" customHeight="1">
      <c r="A216" s="17">
        <v>11.0</v>
      </c>
      <c r="B216" s="18" t="s">
        <v>34</v>
      </c>
      <c r="C216" s="17">
        <v>9.0</v>
      </c>
      <c r="D216" s="17" t="s">
        <v>42</v>
      </c>
      <c r="E216" s="18" t="s">
        <v>9</v>
      </c>
      <c r="F216" s="18" t="s">
        <v>23</v>
      </c>
      <c r="G216" s="17">
        <v>91.0</v>
      </c>
      <c r="H216" s="17">
        <v>13.0</v>
      </c>
      <c r="I216" s="17">
        <v>3.0</v>
      </c>
      <c r="J216" s="17">
        <v>2.0</v>
      </c>
      <c r="K216" s="17">
        <v>1.0</v>
      </c>
    </row>
    <row r="217" ht="22.5" customHeight="1">
      <c r="A217" s="17">
        <v>12.0</v>
      </c>
      <c r="B217" s="18" t="s">
        <v>34</v>
      </c>
      <c r="C217" s="17">
        <v>9.0</v>
      </c>
      <c r="D217" s="17" t="s">
        <v>42</v>
      </c>
      <c r="E217" s="18" t="s">
        <v>9</v>
      </c>
      <c r="F217" s="18" t="s">
        <v>24</v>
      </c>
      <c r="G217" s="17">
        <v>105.0</v>
      </c>
      <c r="H217" s="17">
        <v>18.0</v>
      </c>
      <c r="I217" s="17">
        <v>8.0</v>
      </c>
      <c r="J217" s="17">
        <v>4.0</v>
      </c>
      <c r="K217" s="17">
        <v>1.0</v>
      </c>
    </row>
    <row r="218" ht="22.5" customHeight="1">
      <c r="A218" s="17">
        <v>1.0</v>
      </c>
      <c r="B218" s="18" t="s">
        <v>32</v>
      </c>
      <c r="C218" s="17">
        <v>10.0</v>
      </c>
      <c r="D218" s="17" t="s">
        <v>43</v>
      </c>
      <c r="E218" s="18" t="s">
        <v>1</v>
      </c>
      <c r="F218" s="18" t="s">
        <v>24</v>
      </c>
      <c r="G218" s="17">
        <v>89.0</v>
      </c>
      <c r="H218" s="17">
        <v>10.0</v>
      </c>
      <c r="I218" s="17">
        <v>6.0</v>
      </c>
      <c r="J218" s="17">
        <v>6.0</v>
      </c>
      <c r="K218" s="17">
        <v>3.0</v>
      </c>
    </row>
    <row r="219" ht="22.5" customHeight="1">
      <c r="A219" s="17">
        <v>2.0</v>
      </c>
      <c r="B219" s="18" t="s">
        <v>32</v>
      </c>
      <c r="C219" s="17">
        <v>10.0</v>
      </c>
      <c r="D219" s="17" t="s">
        <v>43</v>
      </c>
      <c r="E219" s="18" t="s">
        <v>1</v>
      </c>
      <c r="F219" s="18" t="s">
        <v>24</v>
      </c>
      <c r="G219" s="17">
        <v>86.0</v>
      </c>
      <c r="H219" s="17">
        <v>9.0</v>
      </c>
      <c r="I219" s="17">
        <v>4.0</v>
      </c>
      <c r="J219" s="17">
        <v>4.0</v>
      </c>
      <c r="K219" s="17">
        <v>2.0</v>
      </c>
    </row>
    <row r="220" ht="22.5" customHeight="1">
      <c r="A220" s="17">
        <v>3.0</v>
      </c>
      <c r="B220" s="18" t="s">
        <v>32</v>
      </c>
      <c r="C220" s="17">
        <v>10.0</v>
      </c>
      <c r="D220" s="17" t="s">
        <v>43</v>
      </c>
      <c r="E220" s="18" t="s">
        <v>1</v>
      </c>
      <c r="F220" s="18" t="s">
        <v>24</v>
      </c>
      <c r="G220" s="17">
        <v>88.0</v>
      </c>
      <c r="H220" s="17">
        <v>9.0</v>
      </c>
      <c r="I220" s="17">
        <v>5.0</v>
      </c>
      <c r="J220" s="17">
        <v>4.0</v>
      </c>
      <c r="K220" s="17">
        <v>2.0</v>
      </c>
    </row>
    <row r="221" ht="22.5" customHeight="1">
      <c r="A221" s="17">
        <v>4.0</v>
      </c>
      <c r="B221" s="18" t="s">
        <v>32</v>
      </c>
      <c r="C221" s="17">
        <v>10.0</v>
      </c>
      <c r="D221" s="17" t="s">
        <v>43</v>
      </c>
      <c r="E221" s="18" t="s">
        <v>1</v>
      </c>
      <c r="F221" s="18" t="s">
        <v>24</v>
      </c>
      <c r="G221" s="17">
        <v>95.0</v>
      </c>
      <c r="H221" s="17">
        <v>10.0</v>
      </c>
      <c r="I221" s="17">
        <v>6.0</v>
      </c>
      <c r="J221" s="17">
        <v>6.0</v>
      </c>
      <c r="K221" s="17">
        <v>3.0</v>
      </c>
    </row>
    <row r="222" ht="22.5" customHeight="1">
      <c r="A222" s="17">
        <v>5.0</v>
      </c>
      <c r="B222" s="18" t="s">
        <v>32</v>
      </c>
      <c r="C222" s="17">
        <v>10.0</v>
      </c>
      <c r="D222" s="17" t="s">
        <v>43</v>
      </c>
      <c r="E222" s="18" t="s">
        <v>1</v>
      </c>
      <c r="F222" s="18" t="s">
        <v>24</v>
      </c>
      <c r="G222" s="17">
        <v>86.0</v>
      </c>
      <c r="H222" s="17">
        <v>7.0</v>
      </c>
      <c r="I222" s="17">
        <v>3.0</v>
      </c>
      <c r="J222" s="17">
        <v>4.0</v>
      </c>
      <c r="K222" s="17">
        <v>1.0</v>
      </c>
    </row>
    <row r="223" ht="22.5" customHeight="1">
      <c r="A223" s="17">
        <v>6.0</v>
      </c>
      <c r="B223" s="18" t="s">
        <v>32</v>
      </c>
      <c r="C223" s="17">
        <v>10.0</v>
      </c>
      <c r="D223" s="17" t="s">
        <v>43</v>
      </c>
      <c r="E223" s="18" t="s">
        <v>1</v>
      </c>
      <c r="F223" s="18" t="s">
        <v>25</v>
      </c>
      <c r="G223" s="17">
        <v>101.0</v>
      </c>
      <c r="H223" s="17">
        <v>11.0</v>
      </c>
      <c r="I223" s="17">
        <v>7.0</v>
      </c>
      <c r="J223" s="17">
        <v>7.0</v>
      </c>
      <c r="K223" s="17">
        <v>3.0</v>
      </c>
    </row>
    <row r="224" ht="22.5" customHeight="1">
      <c r="A224" s="17">
        <v>7.0</v>
      </c>
      <c r="B224" s="18" t="s">
        <v>34</v>
      </c>
      <c r="C224" s="17">
        <v>10.0</v>
      </c>
      <c r="D224" s="17" t="s">
        <v>43</v>
      </c>
      <c r="E224" s="18" t="s">
        <v>1</v>
      </c>
      <c r="F224" s="18" t="s">
        <v>23</v>
      </c>
      <c r="G224" s="17">
        <v>83.0</v>
      </c>
      <c r="H224" s="17">
        <v>4.0</v>
      </c>
      <c r="I224" s="17">
        <v>1.0</v>
      </c>
      <c r="J224" s="17">
        <v>3.0</v>
      </c>
      <c r="K224" s="17">
        <v>1.0</v>
      </c>
    </row>
    <row r="225" ht="22.5" customHeight="1">
      <c r="A225" s="17">
        <v>8.0</v>
      </c>
      <c r="B225" s="18" t="s">
        <v>34</v>
      </c>
      <c r="C225" s="17">
        <v>10.0</v>
      </c>
      <c r="D225" s="17" t="s">
        <v>43</v>
      </c>
      <c r="E225" s="18" t="s">
        <v>1</v>
      </c>
      <c r="F225" s="18" t="s">
        <v>23</v>
      </c>
      <c r="G225" s="17">
        <v>83.0</v>
      </c>
      <c r="H225" s="17">
        <v>6.0</v>
      </c>
      <c r="I225" s="17">
        <v>3.0</v>
      </c>
      <c r="J225" s="17">
        <v>3.0</v>
      </c>
      <c r="K225" s="17">
        <v>1.0</v>
      </c>
    </row>
    <row r="226" ht="22.5" customHeight="1">
      <c r="A226" s="17">
        <v>9.0</v>
      </c>
      <c r="B226" s="18" t="s">
        <v>34</v>
      </c>
      <c r="C226" s="17">
        <v>10.0</v>
      </c>
      <c r="D226" s="17" t="s">
        <v>43</v>
      </c>
      <c r="E226" s="18" t="s">
        <v>1</v>
      </c>
      <c r="F226" s="18" t="s">
        <v>24</v>
      </c>
      <c r="G226" s="17">
        <v>85.0</v>
      </c>
      <c r="H226" s="17">
        <v>6.0</v>
      </c>
      <c r="I226" s="17">
        <v>3.0</v>
      </c>
      <c r="J226" s="17">
        <v>4.0</v>
      </c>
      <c r="K226" s="17">
        <v>1.0</v>
      </c>
    </row>
    <row r="227" ht="22.5" customHeight="1">
      <c r="A227" s="17">
        <v>10.0</v>
      </c>
      <c r="B227" s="18" t="s">
        <v>34</v>
      </c>
      <c r="C227" s="17">
        <v>10.0</v>
      </c>
      <c r="D227" s="17" t="s">
        <v>43</v>
      </c>
      <c r="E227" s="18" t="s">
        <v>1</v>
      </c>
      <c r="F227" s="18" t="s">
        <v>23</v>
      </c>
      <c r="G227" s="17">
        <v>66.0</v>
      </c>
      <c r="H227" s="17">
        <v>3.0</v>
      </c>
      <c r="I227" s="17">
        <v>1.0</v>
      </c>
      <c r="J227" s="17">
        <v>2.0</v>
      </c>
      <c r="K227" s="17">
        <v>1.0</v>
      </c>
    </row>
    <row r="228" ht="22.5" customHeight="1">
      <c r="A228" s="17">
        <v>11.0</v>
      </c>
      <c r="B228" s="18" t="s">
        <v>34</v>
      </c>
      <c r="C228" s="17">
        <v>10.0</v>
      </c>
      <c r="D228" s="17" t="s">
        <v>43</v>
      </c>
      <c r="E228" s="18" t="s">
        <v>1</v>
      </c>
      <c r="F228" s="18" t="s">
        <v>23</v>
      </c>
      <c r="G228" s="17">
        <v>71.0</v>
      </c>
      <c r="H228" s="17">
        <v>4.0</v>
      </c>
      <c r="I228" s="17">
        <v>1.0</v>
      </c>
      <c r="J228" s="17">
        <v>2.0</v>
      </c>
      <c r="K228" s="17">
        <v>1.0</v>
      </c>
    </row>
    <row r="229" ht="22.5" customHeight="1">
      <c r="A229" s="17">
        <v>12.0</v>
      </c>
      <c r="B229" s="18" t="s">
        <v>34</v>
      </c>
      <c r="C229" s="17">
        <v>10.0</v>
      </c>
      <c r="D229" s="17" t="s">
        <v>43</v>
      </c>
      <c r="E229" s="18" t="s">
        <v>1</v>
      </c>
      <c r="F229" s="18" t="s">
        <v>24</v>
      </c>
      <c r="G229" s="17">
        <v>86.0</v>
      </c>
      <c r="H229" s="17">
        <v>7.0</v>
      </c>
      <c r="I229" s="17">
        <v>4.0</v>
      </c>
      <c r="J229" s="17">
        <v>4.0</v>
      </c>
      <c r="K229" s="17">
        <v>2.0</v>
      </c>
    </row>
    <row r="230" ht="22.5" customHeight="1">
      <c r="A230" s="17">
        <v>1.0</v>
      </c>
      <c r="B230" s="18" t="s">
        <v>32</v>
      </c>
      <c r="C230" s="17">
        <v>10.0</v>
      </c>
      <c r="D230" s="17" t="s">
        <v>43</v>
      </c>
      <c r="E230" s="18" t="s">
        <v>9</v>
      </c>
      <c r="F230" s="18" t="s">
        <v>24</v>
      </c>
      <c r="G230" s="17">
        <v>83.0</v>
      </c>
      <c r="H230" s="17">
        <v>7.0</v>
      </c>
      <c r="I230" s="17">
        <v>4.0</v>
      </c>
      <c r="J230" s="17">
        <v>5.0</v>
      </c>
      <c r="K230" s="17">
        <v>7.0</v>
      </c>
    </row>
    <row r="231" ht="22.5" customHeight="1">
      <c r="A231" s="17">
        <v>2.0</v>
      </c>
      <c r="B231" s="18" t="s">
        <v>32</v>
      </c>
      <c r="C231" s="17">
        <v>10.0</v>
      </c>
      <c r="D231" s="17" t="s">
        <v>43</v>
      </c>
      <c r="E231" s="18" t="s">
        <v>9</v>
      </c>
      <c r="F231" s="18" t="s">
        <v>24</v>
      </c>
      <c r="G231" s="17">
        <v>78.0</v>
      </c>
      <c r="H231" s="17">
        <v>7.0</v>
      </c>
      <c r="I231" s="17">
        <v>4.0</v>
      </c>
      <c r="J231" s="17">
        <v>4.0</v>
      </c>
      <c r="K231" s="17">
        <v>5.0</v>
      </c>
    </row>
    <row r="232" ht="22.5" customHeight="1">
      <c r="A232" s="17">
        <v>3.0</v>
      </c>
      <c r="B232" s="18" t="s">
        <v>32</v>
      </c>
      <c r="C232" s="17">
        <v>10.0</v>
      </c>
      <c r="D232" s="17" t="s">
        <v>43</v>
      </c>
      <c r="E232" s="18" t="s">
        <v>9</v>
      </c>
      <c r="F232" s="18" t="s">
        <v>24</v>
      </c>
      <c r="G232" s="17">
        <v>79.0</v>
      </c>
      <c r="H232" s="17">
        <v>7.0</v>
      </c>
      <c r="I232" s="17">
        <v>4.0</v>
      </c>
      <c r="J232" s="17">
        <v>4.0</v>
      </c>
      <c r="K232" s="17">
        <v>6.0</v>
      </c>
    </row>
    <row r="233" ht="22.5" customHeight="1">
      <c r="A233" s="17">
        <v>4.0</v>
      </c>
      <c r="B233" s="18" t="s">
        <v>32</v>
      </c>
      <c r="C233" s="17">
        <v>10.0</v>
      </c>
      <c r="D233" s="17" t="s">
        <v>43</v>
      </c>
      <c r="E233" s="18" t="s">
        <v>9</v>
      </c>
      <c r="F233" s="18" t="s">
        <v>24</v>
      </c>
      <c r="G233" s="17">
        <v>91.0</v>
      </c>
      <c r="H233" s="17">
        <v>8.0</v>
      </c>
      <c r="I233" s="17">
        <v>6.0</v>
      </c>
      <c r="J233" s="17">
        <v>6.0</v>
      </c>
      <c r="K233" s="17">
        <v>7.0</v>
      </c>
    </row>
    <row r="234" ht="22.5" customHeight="1">
      <c r="A234" s="17">
        <v>5.0</v>
      </c>
      <c r="B234" s="18" t="s">
        <v>32</v>
      </c>
      <c r="C234" s="17">
        <v>10.0</v>
      </c>
      <c r="D234" s="17" t="s">
        <v>43</v>
      </c>
      <c r="E234" s="18" t="s">
        <v>9</v>
      </c>
      <c r="F234" s="18" t="s">
        <v>24</v>
      </c>
      <c r="G234" s="17">
        <v>77.0</v>
      </c>
      <c r="H234" s="17">
        <v>5.0</v>
      </c>
      <c r="I234" s="17">
        <v>3.0</v>
      </c>
      <c r="J234" s="17">
        <v>4.0</v>
      </c>
      <c r="K234" s="17">
        <v>4.0</v>
      </c>
    </row>
    <row r="235" ht="22.5" customHeight="1">
      <c r="A235" s="17">
        <v>6.0</v>
      </c>
      <c r="B235" s="18" t="s">
        <v>32</v>
      </c>
      <c r="C235" s="17">
        <v>10.0</v>
      </c>
      <c r="D235" s="17" t="s">
        <v>43</v>
      </c>
      <c r="E235" s="18" t="s">
        <v>9</v>
      </c>
      <c r="F235" s="18" t="s">
        <v>25</v>
      </c>
      <c r="G235" s="17">
        <v>94.0</v>
      </c>
      <c r="H235" s="17">
        <v>9.0</v>
      </c>
      <c r="I235" s="17">
        <v>6.0</v>
      </c>
      <c r="J235" s="17">
        <v>8.0</v>
      </c>
      <c r="K235" s="17">
        <v>8.0</v>
      </c>
    </row>
    <row r="236" ht="22.5" customHeight="1">
      <c r="A236" s="17">
        <v>7.0</v>
      </c>
      <c r="B236" s="18" t="s">
        <v>34</v>
      </c>
      <c r="C236" s="17">
        <v>10.0</v>
      </c>
      <c r="D236" s="17" t="s">
        <v>43</v>
      </c>
      <c r="E236" s="18" t="s">
        <v>9</v>
      </c>
      <c r="F236" s="18" t="s">
        <v>23</v>
      </c>
      <c r="G236" s="17">
        <v>70.0</v>
      </c>
      <c r="H236" s="17">
        <v>4.0</v>
      </c>
      <c r="I236" s="17">
        <v>2.0</v>
      </c>
      <c r="J236" s="17">
        <v>2.0</v>
      </c>
      <c r="K236" s="17">
        <v>1.0</v>
      </c>
    </row>
    <row r="237" ht="22.5" customHeight="1">
      <c r="A237" s="17">
        <v>8.0</v>
      </c>
      <c r="B237" s="18" t="s">
        <v>34</v>
      </c>
      <c r="C237" s="17">
        <v>10.0</v>
      </c>
      <c r="D237" s="17" t="s">
        <v>43</v>
      </c>
      <c r="E237" s="18" t="s">
        <v>9</v>
      </c>
      <c r="F237" s="18" t="s">
        <v>23</v>
      </c>
      <c r="G237" s="17">
        <v>73.0</v>
      </c>
      <c r="H237" s="17">
        <v>5.0</v>
      </c>
      <c r="I237" s="17">
        <v>3.0</v>
      </c>
      <c r="J237" s="17">
        <v>2.0</v>
      </c>
      <c r="K237" s="17">
        <v>3.0</v>
      </c>
    </row>
    <row r="238" ht="22.5" customHeight="1">
      <c r="A238" s="17">
        <v>9.0</v>
      </c>
      <c r="B238" s="18" t="s">
        <v>34</v>
      </c>
      <c r="C238" s="17">
        <v>10.0</v>
      </c>
      <c r="D238" s="17" t="s">
        <v>43</v>
      </c>
      <c r="E238" s="18" t="s">
        <v>9</v>
      </c>
      <c r="F238" s="18" t="s">
        <v>23</v>
      </c>
      <c r="G238" s="17">
        <v>73.0</v>
      </c>
      <c r="H238" s="17">
        <v>5.0</v>
      </c>
      <c r="I238" s="17">
        <v>3.0</v>
      </c>
      <c r="J238" s="17">
        <v>3.0</v>
      </c>
      <c r="K238" s="17">
        <v>3.0</v>
      </c>
    </row>
    <row r="239" ht="22.5" customHeight="1">
      <c r="A239" s="17">
        <v>10.0</v>
      </c>
      <c r="B239" s="18" t="s">
        <v>34</v>
      </c>
      <c r="C239" s="17">
        <v>10.0</v>
      </c>
      <c r="D239" s="17" t="s">
        <v>43</v>
      </c>
      <c r="E239" s="18" t="s">
        <v>9</v>
      </c>
      <c r="F239" s="18" t="s">
        <v>23</v>
      </c>
      <c r="G239" s="17">
        <v>62.0</v>
      </c>
      <c r="H239" s="17">
        <v>1.0</v>
      </c>
      <c r="I239" s="17">
        <v>1.0</v>
      </c>
      <c r="J239" s="17">
        <v>1.0</v>
      </c>
      <c r="K239" s="17">
        <v>1.0</v>
      </c>
    </row>
    <row r="240" ht="22.5" customHeight="1">
      <c r="A240" s="17">
        <v>11.0</v>
      </c>
      <c r="B240" s="18" t="s">
        <v>34</v>
      </c>
      <c r="C240" s="17">
        <v>10.0</v>
      </c>
      <c r="D240" s="17" t="s">
        <v>43</v>
      </c>
      <c r="E240" s="18" t="s">
        <v>9</v>
      </c>
      <c r="F240" s="18" t="s">
        <v>23</v>
      </c>
      <c r="G240" s="17">
        <v>67.0</v>
      </c>
      <c r="H240" s="17">
        <v>2.0</v>
      </c>
      <c r="I240" s="17">
        <v>1.0</v>
      </c>
      <c r="J240" s="17">
        <v>2.0</v>
      </c>
      <c r="K240" s="17">
        <v>1.0</v>
      </c>
    </row>
    <row r="241" ht="22.5" customHeight="1">
      <c r="A241" s="17">
        <v>12.0</v>
      </c>
      <c r="B241" s="18" t="s">
        <v>34</v>
      </c>
      <c r="C241" s="17">
        <v>10.0</v>
      </c>
      <c r="D241" s="17" t="s">
        <v>43</v>
      </c>
      <c r="E241" s="18" t="s">
        <v>9</v>
      </c>
      <c r="F241" s="18" t="s">
        <v>24</v>
      </c>
      <c r="G241" s="17">
        <v>78.0</v>
      </c>
      <c r="H241" s="17">
        <v>6.0</v>
      </c>
      <c r="I241" s="17">
        <v>4.0</v>
      </c>
      <c r="J241" s="17">
        <v>4.0</v>
      </c>
      <c r="K241" s="17">
        <v>4.0</v>
      </c>
    </row>
    <row r="242" ht="22.5" customHeight="1">
      <c r="A242" s="17">
        <v>1.0</v>
      </c>
      <c r="B242" s="18" t="s">
        <v>32</v>
      </c>
      <c r="C242" s="17">
        <v>11.0</v>
      </c>
      <c r="D242" s="17" t="s">
        <v>44</v>
      </c>
      <c r="E242" s="18" t="s">
        <v>1</v>
      </c>
      <c r="F242" s="18" t="s">
        <v>24</v>
      </c>
      <c r="G242" s="17">
        <v>54.0</v>
      </c>
      <c r="H242" s="17">
        <v>7.0</v>
      </c>
      <c r="I242" s="17">
        <v>1.0</v>
      </c>
      <c r="J242" s="17">
        <v>1.0</v>
      </c>
      <c r="K242" s="17">
        <v>4.0</v>
      </c>
    </row>
    <row r="243" ht="22.5" customHeight="1">
      <c r="A243" s="17">
        <v>2.0</v>
      </c>
      <c r="B243" s="18" t="s">
        <v>32</v>
      </c>
      <c r="C243" s="17">
        <v>11.0</v>
      </c>
      <c r="D243" s="17" t="s">
        <v>44</v>
      </c>
      <c r="E243" s="18" t="s">
        <v>1</v>
      </c>
      <c r="F243" s="18" t="s">
        <v>23</v>
      </c>
      <c r="G243" s="17">
        <v>54.0</v>
      </c>
      <c r="H243" s="17">
        <v>5.0</v>
      </c>
      <c r="I243" s="17">
        <v>1.0</v>
      </c>
      <c r="J243" s="17">
        <v>1.0</v>
      </c>
      <c r="K243" s="17">
        <v>4.0</v>
      </c>
    </row>
    <row r="244" ht="22.5" customHeight="1">
      <c r="A244" s="17">
        <v>3.0</v>
      </c>
      <c r="B244" s="18" t="s">
        <v>32</v>
      </c>
      <c r="C244" s="17">
        <v>11.0</v>
      </c>
      <c r="D244" s="17" t="s">
        <v>44</v>
      </c>
      <c r="E244" s="18" t="s">
        <v>1</v>
      </c>
      <c r="F244" s="18" t="s">
        <v>23</v>
      </c>
      <c r="G244" s="17">
        <v>54.0</v>
      </c>
      <c r="H244" s="17">
        <v>6.0</v>
      </c>
      <c r="I244" s="17">
        <v>1.0</v>
      </c>
      <c r="J244" s="17">
        <v>1.0</v>
      </c>
      <c r="K244" s="17">
        <v>4.0</v>
      </c>
    </row>
    <row r="245" ht="22.5" customHeight="1">
      <c r="A245" s="17">
        <v>4.0</v>
      </c>
      <c r="B245" s="18" t="s">
        <v>32</v>
      </c>
      <c r="C245" s="17">
        <v>11.0</v>
      </c>
      <c r="D245" s="17" t="s">
        <v>44</v>
      </c>
      <c r="E245" s="18" t="s">
        <v>1</v>
      </c>
      <c r="F245" s="18" t="s">
        <v>24</v>
      </c>
      <c r="G245" s="17">
        <v>55.0</v>
      </c>
      <c r="H245" s="17">
        <v>9.0</v>
      </c>
      <c r="I245" s="17">
        <v>1.0</v>
      </c>
      <c r="J245" s="17">
        <v>2.0</v>
      </c>
      <c r="K245" s="17">
        <v>4.0</v>
      </c>
    </row>
    <row r="246" ht="22.5" customHeight="1">
      <c r="A246" s="17">
        <v>5.0</v>
      </c>
      <c r="B246" s="18" t="s">
        <v>32</v>
      </c>
      <c r="C246" s="17">
        <v>11.0</v>
      </c>
      <c r="D246" s="17" t="s">
        <v>44</v>
      </c>
      <c r="E246" s="18" t="s">
        <v>1</v>
      </c>
      <c r="F246" s="18" t="s">
        <v>23</v>
      </c>
      <c r="G246" s="17">
        <v>50.0</v>
      </c>
      <c r="H246" s="17">
        <v>4.0</v>
      </c>
      <c r="I246" s="17">
        <v>1.0</v>
      </c>
      <c r="J246" s="17">
        <v>1.0</v>
      </c>
      <c r="K246" s="17">
        <v>3.0</v>
      </c>
    </row>
    <row r="247" ht="22.5" customHeight="1">
      <c r="A247" s="17">
        <v>6.0</v>
      </c>
      <c r="B247" s="18" t="s">
        <v>32</v>
      </c>
      <c r="C247" s="17">
        <v>11.0</v>
      </c>
      <c r="D247" s="17" t="s">
        <v>44</v>
      </c>
      <c r="E247" s="18" t="s">
        <v>1</v>
      </c>
      <c r="F247" s="18" t="s">
        <v>24</v>
      </c>
      <c r="G247" s="17">
        <v>57.0</v>
      </c>
      <c r="H247" s="17">
        <v>11.0</v>
      </c>
      <c r="I247" s="17">
        <v>2.0</v>
      </c>
      <c r="J247" s="17">
        <v>2.0</v>
      </c>
      <c r="K247" s="17">
        <v>5.0</v>
      </c>
    </row>
    <row r="248" ht="22.5" customHeight="1">
      <c r="A248" s="17">
        <v>7.0</v>
      </c>
      <c r="B248" s="18" t="s">
        <v>34</v>
      </c>
      <c r="C248" s="17">
        <v>11.0</v>
      </c>
      <c r="D248" s="17" t="s">
        <v>44</v>
      </c>
      <c r="E248" s="18" t="s">
        <v>1</v>
      </c>
      <c r="F248" s="18" t="s">
        <v>23</v>
      </c>
      <c r="G248" s="17">
        <v>46.0</v>
      </c>
      <c r="H248" s="17">
        <v>3.0</v>
      </c>
      <c r="I248" s="17">
        <v>0.0</v>
      </c>
      <c r="J248" s="17">
        <v>1.0</v>
      </c>
      <c r="K248" s="17">
        <v>2.0</v>
      </c>
    </row>
    <row r="249" ht="22.5" customHeight="1">
      <c r="A249" s="17">
        <v>8.0</v>
      </c>
      <c r="B249" s="18" t="s">
        <v>34</v>
      </c>
      <c r="C249" s="17">
        <v>11.0</v>
      </c>
      <c r="D249" s="17" t="s">
        <v>44</v>
      </c>
      <c r="E249" s="18" t="s">
        <v>1</v>
      </c>
      <c r="F249" s="18" t="s">
        <v>23</v>
      </c>
      <c r="G249" s="17">
        <v>47.0</v>
      </c>
      <c r="H249" s="17">
        <v>3.0</v>
      </c>
      <c r="I249" s="17">
        <v>0.0</v>
      </c>
      <c r="J249" s="17">
        <v>1.0</v>
      </c>
      <c r="K249" s="17">
        <v>2.0</v>
      </c>
    </row>
    <row r="250" ht="22.5" customHeight="1">
      <c r="A250" s="17">
        <v>9.0</v>
      </c>
      <c r="B250" s="18" t="s">
        <v>34</v>
      </c>
      <c r="C250" s="17">
        <v>11.0</v>
      </c>
      <c r="D250" s="17" t="s">
        <v>44</v>
      </c>
      <c r="E250" s="18" t="s">
        <v>1</v>
      </c>
      <c r="F250" s="18" t="s">
        <v>23</v>
      </c>
      <c r="G250" s="17">
        <v>49.0</v>
      </c>
      <c r="H250" s="17">
        <v>3.0</v>
      </c>
      <c r="I250" s="17">
        <v>0.0</v>
      </c>
      <c r="J250" s="17">
        <v>1.0</v>
      </c>
      <c r="K250" s="17">
        <v>3.0</v>
      </c>
    </row>
    <row r="251" ht="22.5" customHeight="1">
      <c r="A251" s="17">
        <v>10.0</v>
      </c>
      <c r="B251" s="18" t="s">
        <v>34</v>
      </c>
      <c r="C251" s="17">
        <v>11.0</v>
      </c>
      <c r="D251" s="17" t="s">
        <v>44</v>
      </c>
      <c r="E251" s="18" t="s">
        <v>1</v>
      </c>
      <c r="F251" s="18" t="s">
        <v>23</v>
      </c>
      <c r="G251" s="17">
        <v>44.0</v>
      </c>
      <c r="H251" s="17">
        <v>2.0</v>
      </c>
      <c r="I251" s="17">
        <v>0.0</v>
      </c>
      <c r="J251" s="17">
        <v>1.0</v>
      </c>
      <c r="K251" s="17">
        <v>2.0</v>
      </c>
    </row>
    <row r="252" ht="22.5" customHeight="1">
      <c r="A252" s="17">
        <v>11.0</v>
      </c>
      <c r="B252" s="18" t="s">
        <v>34</v>
      </c>
      <c r="C252" s="17">
        <v>11.0</v>
      </c>
      <c r="D252" s="17" t="s">
        <v>44</v>
      </c>
      <c r="E252" s="18" t="s">
        <v>1</v>
      </c>
      <c r="F252" s="18" t="s">
        <v>23</v>
      </c>
      <c r="G252" s="17">
        <v>44.0</v>
      </c>
      <c r="H252" s="17">
        <v>2.0</v>
      </c>
      <c r="I252" s="17">
        <v>0.0</v>
      </c>
      <c r="J252" s="17">
        <v>1.0</v>
      </c>
      <c r="K252" s="17">
        <v>2.0</v>
      </c>
    </row>
    <row r="253" ht="22.5" customHeight="1">
      <c r="A253" s="17">
        <v>12.0</v>
      </c>
      <c r="B253" s="18" t="s">
        <v>34</v>
      </c>
      <c r="C253" s="17">
        <v>11.0</v>
      </c>
      <c r="D253" s="17" t="s">
        <v>44</v>
      </c>
      <c r="E253" s="18" t="s">
        <v>1</v>
      </c>
      <c r="F253" s="18" t="s">
        <v>23</v>
      </c>
      <c r="G253" s="17">
        <v>50.0</v>
      </c>
      <c r="H253" s="17">
        <v>4.0</v>
      </c>
      <c r="I253" s="17">
        <v>1.0</v>
      </c>
      <c r="J253" s="17">
        <v>1.0</v>
      </c>
      <c r="K253" s="17">
        <v>3.0</v>
      </c>
    </row>
    <row r="254" ht="22.5" customHeight="1">
      <c r="A254" s="17">
        <v>1.0</v>
      </c>
      <c r="B254" s="18" t="s">
        <v>32</v>
      </c>
      <c r="C254" s="17">
        <v>11.0</v>
      </c>
      <c r="D254" s="17" t="s">
        <v>44</v>
      </c>
      <c r="E254" s="18" t="s">
        <v>9</v>
      </c>
      <c r="F254" s="18" t="s">
        <v>24</v>
      </c>
      <c r="G254" s="17">
        <v>49.0</v>
      </c>
      <c r="H254" s="17">
        <v>6.0</v>
      </c>
      <c r="I254" s="17">
        <v>0.0</v>
      </c>
      <c r="J254" s="17">
        <v>1.0</v>
      </c>
      <c r="K254" s="17">
        <v>6.0</v>
      </c>
    </row>
    <row r="255" ht="22.5" customHeight="1">
      <c r="A255" s="17">
        <v>2.0</v>
      </c>
      <c r="B255" s="18" t="s">
        <v>32</v>
      </c>
      <c r="C255" s="17">
        <v>11.0</v>
      </c>
      <c r="D255" s="17" t="s">
        <v>44</v>
      </c>
      <c r="E255" s="18" t="s">
        <v>9</v>
      </c>
      <c r="F255" s="18" t="s">
        <v>23</v>
      </c>
      <c r="G255" s="17">
        <v>48.0</v>
      </c>
      <c r="H255" s="17">
        <v>4.0</v>
      </c>
      <c r="I255" s="17">
        <v>0.0</v>
      </c>
      <c r="J255" s="17">
        <v>1.0</v>
      </c>
      <c r="K255" s="17">
        <v>5.0</v>
      </c>
    </row>
    <row r="256" ht="22.5" customHeight="1">
      <c r="A256" s="17">
        <v>3.0</v>
      </c>
      <c r="B256" s="18" t="s">
        <v>32</v>
      </c>
      <c r="C256" s="17">
        <v>11.0</v>
      </c>
      <c r="D256" s="17" t="s">
        <v>44</v>
      </c>
      <c r="E256" s="18" t="s">
        <v>9</v>
      </c>
      <c r="F256" s="18" t="s">
        <v>23</v>
      </c>
      <c r="G256" s="17">
        <v>49.0</v>
      </c>
      <c r="H256" s="17">
        <v>5.0</v>
      </c>
      <c r="I256" s="17">
        <v>0.0</v>
      </c>
      <c r="J256" s="17">
        <v>1.0</v>
      </c>
      <c r="K256" s="17">
        <v>6.0</v>
      </c>
    </row>
    <row r="257" ht="22.5" customHeight="1">
      <c r="A257" s="17">
        <v>4.0</v>
      </c>
      <c r="B257" s="18" t="s">
        <v>32</v>
      </c>
      <c r="C257" s="17">
        <v>11.0</v>
      </c>
      <c r="D257" s="17" t="s">
        <v>44</v>
      </c>
      <c r="E257" s="18" t="s">
        <v>9</v>
      </c>
      <c r="F257" s="18" t="s">
        <v>24</v>
      </c>
      <c r="G257" s="17">
        <v>49.0</v>
      </c>
      <c r="H257" s="17">
        <v>7.0</v>
      </c>
      <c r="I257" s="17">
        <v>0.0</v>
      </c>
      <c r="J257" s="17">
        <v>1.0</v>
      </c>
      <c r="K257" s="17">
        <v>7.0</v>
      </c>
    </row>
    <row r="258" ht="22.5" customHeight="1">
      <c r="A258" s="17">
        <v>5.0</v>
      </c>
      <c r="B258" s="18" t="s">
        <v>32</v>
      </c>
      <c r="C258" s="17">
        <v>11.0</v>
      </c>
      <c r="D258" s="17" t="s">
        <v>44</v>
      </c>
      <c r="E258" s="18" t="s">
        <v>9</v>
      </c>
      <c r="F258" s="18" t="s">
        <v>23</v>
      </c>
      <c r="G258" s="17">
        <v>46.0</v>
      </c>
      <c r="H258" s="17">
        <v>4.0</v>
      </c>
      <c r="I258" s="17">
        <v>0.0</v>
      </c>
      <c r="J258" s="17">
        <v>1.0</v>
      </c>
      <c r="K258" s="17">
        <v>5.0</v>
      </c>
    </row>
    <row r="259" ht="22.5" customHeight="1">
      <c r="A259" s="17">
        <v>6.0</v>
      </c>
      <c r="B259" s="18" t="s">
        <v>32</v>
      </c>
      <c r="C259" s="17">
        <v>11.0</v>
      </c>
      <c r="D259" s="17" t="s">
        <v>44</v>
      </c>
      <c r="E259" s="18" t="s">
        <v>9</v>
      </c>
      <c r="F259" s="18" t="s">
        <v>24</v>
      </c>
      <c r="G259" s="17">
        <v>53.0</v>
      </c>
      <c r="H259" s="17">
        <v>8.0</v>
      </c>
      <c r="I259" s="17">
        <v>1.0</v>
      </c>
      <c r="J259" s="17">
        <v>2.0</v>
      </c>
      <c r="K259" s="17">
        <v>7.0</v>
      </c>
    </row>
    <row r="260" ht="22.5" customHeight="1">
      <c r="A260" s="17">
        <v>7.0</v>
      </c>
      <c r="B260" s="18" t="s">
        <v>34</v>
      </c>
      <c r="C260" s="17">
        <v>11.0</v>
      </c>
      <c r="D260" s="17" t="s">
        <v>44</v>
      </c>
      <c r="E260" s="18" t="s">
        <v>9</v>
      </c>
      <c r="F260" s="18" t="s">
        <v>23</v>
      </c>
      <c r="G260" s="17">
        <v>42.0</v>
      </c>
      <c r="H260" s="17">
        <v>2.0</v>
      </c>
      <c r="I260" s="17">
        <v>0.0</v>
      </c>
      <c r="J260" s="17">
        <v>1.0</v>
      </c>
      <c r="K260" s="17">
        <v>4.0</v>
      </c>
    </row>
    <row r="261" ht="22.5" customHeight="1">
      <c r="A261" s="17">
        <v>8.0</v>
      </c>
      <c r="B261" s="18" t="s">
        <v>34</v>
      </c>
      <c r="C261" s="17">
        <v>11.0</v>
      </c>
      <c r="D261" s="17" t="s">
        <v>44</v>
      </c>
      <c r="E261" s="18" t="s">
        <v>9</v>
      </c>
      <c r="F261" s="18" t="s">
        <v>23</v>
      </c>
      <c r="G261" s="17">
        <v>42.0</v>
      </c>
      <c r="H261" s="17">
        <v>3.0</v>
      </c>
      <c r="I261" s="17">
        <v>0.0</v>
      </c>
      <c r="J261" s="17">
        <v>1.0</v>
      </c>
      <c r="K261" s="17">
        <v>4.0</v>
      </c>
    </row>
    <row r="262" ht="22.5" customHeight="1">
      <c r="A262" s="17">
        <v>9.0</v>
      </c>
      <c r="B262" s="18" t="s">
        <v>34</v>
      </c>
      <c r="C262" s="17">
        <v>11.0</v>
      </c>
      <c r="D262" s="17" t="s">
        <v>44</v>
      </c>
      <c r="E262" s="18" t="s">
        <v>9</v>
      </c>
      <c r="F262" s="18" t="s">
        <v>23</v>
      </c>
      <c r="G262" s="17">
        <v>45.0</v>
      </c>
      <c r="H262" s="17">
        <v>4.0</v>
      </c>
      <c r="I262" s="17">
        <v>0.0</v>
      </c>
      <c r="J262" s="17">
        <v>1.0</v>
      </c>
      <c r="K262" s="17">
        <v>5.0</v>
      </c>
    </row>
    <row r="263" ht="22.5" customHeight="1">
      <c r="A263" s="17">
        <v>10.0</v>
      </c>
      <c r="B263" s="18" t="s">
        <v>34</v>
      </c>
      <c r="C263" s="17">
        <v>11.0</v>
      </c>
      <c r="D263" s="17" t="s">
        <v>44</v>
      </c>
      <c r="E263" s="18" t="s">
        <v>9</v>
      </c>
      <c r="F263" s="18" t="s">
        <v>23</v>
      </c>
      <c r="G263" s="17">
        <v>41.0</v>
      </c>
      <c r="H263" s="17">
        <v>1.0</v>
      </c>
      <c r="I263" s="17">
        <v>0.0</v>
      </c>
      <c r="J263" s="17">
        <v>1.0</v>
      </c>
      <c r="K263" s="17">
        <v>1.0</v>
      </c>
    </row>
    <row r="264" ht="22.5" customHeight="1">
      <c r="A264" s="17">
        <v>11.0</v>
      </c>
      <c r="B264" s="18" t="s">
        <v>34</v>
      </c>
      <c r="C264" s="17">
        <v>11.0</v>
      </c>
      <c r="D264" s="17" t="s">
        <v>44</v>
      </c>
      <c r="E264" s="18" t="s">
        <v>9</v>
      </c>
      <c r="F264" s="18" t="s">
        <v>23</v>
      </c>
      <c r="G264" s="17">
        <v>42.0</v>
      </c>
      <c r="H264" s="17">
        <v>2.0</v>
      </c>
      <c r="I264" s="17">
        <v>0.0</v>
      </c>
      <c r="J264" s="17">
        <v>1.0</v>
      </c>
      <c r="K264" s="17">
        <v>2.0</v>
      </c>
    </row>
    <row r="265" ht="22.5" customHeight="1">
      <c r="A265" s="17">
        <v>12.0</v>
      </c>
      <c r="B265" s="18" t="s">
        <v>34</v>
      </c>
      <c r="C265" s="17">
        <v>11.0</v>
      </c>
      <c r="D265" s="17" t="s">
        <v>44</v>
      </c>
      <c r="E265" s="18" t="s">
        <v>9</v>
      </c>
      <c r="F265" s="18" t="s">
        <v>23</v>
      </c>
      <c r="G265" s="17">
        <v>47.0</v>
      </c>
      <c r="H265" s="17">
        <v>4.0</v>
      </c>
      <c r="I265" s="17">
        <v>0.0</v>
      </c>
      <c r="J265" s="17">
        <v>1.0</v>
      </c>
      <c r="K265" s="17">
        <v>5.0</v>
      </c>
    </row>
  </sheetData>
  <dataValidations>
    <dataValidation type="list" allowBlank="1" showDropDown="1" showErrorMessage="1" sqref="B2:B265">
      <formula1>"A,B"</formula1>
    </dataValidation>
    <dataValidation type="list" allowBlank="1" showDropDown="1" showErrorMessage="1" sqref="F2:F265">
      <formula1>"CA,C,NC"</formula1>
    </dataValidation>
    <dataValidation type="list" allowBlank="1" showDropDown="1" showErrorMessage="1" sqref="E2:E265">
      <formula1>"V1,V2"</formula1>
    </dataValidation>
    <dataValidation type="custom" allowBlank="1" showDropDown="1" sqref="A2:A265 C2:C265 G2:K265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0"/>
    <col customWidth="1" min="4" max="4" width="28.75"/>
    <col customWidth="1" min="12" max="12" width="14.0"/>
    <col customWidth="1" min="13" max="13" width="17.25"/>
  </cols>
  <sheetData>
    <row r="1" ht="22.5" customHeight="1">
      <c r="A1" s="19" t="s">
        <v>45</v>
      </c>
      <c r="B1" s="20" t="s">
        <v>1</v>
      </c>
      <c r="C1" s="20" t="s">
        <v>9</v>
      </c>
      <c r="D1" s="19" t="s">
        <v>46</v>
      </c>
      <c r="E1" s="21"/>
      <c r="F1" s="21"/>
      <c r="G1" s="21"/>
      <c r="H1" s="21"/>
      <c r="I1" s="21"/>
      <c r="J1" s="21"/>
      <c r="K1" s="21"/>
      <c r="L1" s="21"/>
      <c r="M1" s="21"/>
    </row>
    <row r="2" ht="22.5" customHeight="1">
      <c r="A2" s="22" t="s">
        <v>47</v>
      </c>
      <c r="B2" s="23">
        <f>M24</f>
        <v>63.54166667</v>
      </c>
      <c r="C2" s="23">
        <f>M40</f>
        <v>72.20833333</v>
      </c>
      <c r="D2" s="24" t="s">
        <v>48</v>
      </c>
      <c r="E2" s="21"/>
      <c r="F2" s="21"/>
      <c r="G2" s="21"/>
      <c r="H2" s="21"/>
      <c r="I2" s="21"/>
      <c r="J2" s="21"/>
      <c r="K2" s="21"/>
      <c r="L2" s="21"/>
      <c r="M2" s="21"/>
    </row>
    <row r="3" ht="22.5" customHeight="1">
      <c r="A3" s="25" t="s">
        <v>49</v>
      </c>
      <c r="B3" s="26" t="s">
        <v>50</v>
      </c>
      <c r="C3" s="26" t="s">
        <v>50</v>
      </c>
      <c r="D3" s="27" t="s">
        <v>51</v>
      </c>
      <c r="E3" s="21"/>
      <c r="F3" s="21"/>
      <c r="G3" s="21"/>
      <c r="H3" s="21"/>
      <c r="I3" s="21"/>
      <c r="J3" s="21"/>
      <c r="K3" s="21"/>
      <c r="L3" s="21"/>
      <c r="M3" s="21"/>
    </row>
    <row r="4" ht="22.5" customHeight="1">
      <c r="A4" s="28" t="s">
        <v>52</v>
      </c>
      <c r="B4" s="29" t="s">
        <v>23</v>
      </c>
      <c r="C4" s="29" t="s">
        <v>34</v>
      </c>
      <c r="D4" s="30" t="s">
        <v>53</v>
      </c>
      <c r="E4" s="21"/>
      <c r="F4" s="21"/>
      <c r="G4" s="21"/>
      <c r="H4" s="21"/>
      <c r="I4" s="21"/>
      <c r="J4" s="21"/>
      <c r="K4" s="21"/>
      <c r="L4" s="21"/>
      <c r="M4" s="21"/>
    </row>
    <row r="5" ht="22.5" customHeight="1">
      <c r="A5" s="25" t="s">
        <v>54</v>
      </c>
      <c r="B5" s="26" t="s">
        <v>55</v>
      </c>
      <c r="C5" s="26" t="s">
        <v>56</v>
      </c>
      <c r="D5" s="27" t="s">
        <v>51</v>
      </c>
      <c r="E5" s="21"/>
      <c r="F5" s="21"/>
      <c r="G5" s="21"/>
      <c r="H5" s="21"/>
      <c r="I5" s="21"/>
      <c r="J5" s="21"/>
      <c r="K5" s="21"/>
      <c r="L5" s="21"/>
      <c r="M5" s="21"/>
    </row>
    <row r="6" ht="22.5" customHeight="1">
      <c r="A6" s="28" t="s">
        <v>57</v>
      </c>
      <c r="B6" s="29" t="s">
        <v>58</v>
      </c>
      <c r="C6" s="29" t="s">
        <v>59</v>
      </c>
      <c r="D6" s="30" t="s">
        <v>60</v>
      </c>
      <c r="E6" s="21"/>
      <c r="F6" s="21"/>
      <c r="G6" s="21"/>
      <c r="H6" s="21"/>
      <c r="I6" s="21"/>
      <c r="J6" s="21"/>
      <c r="K6" s="21"/>
      <c r="L6" s="21"/>
      <c r="M6" s="21"/>
    </row>
    <row r="7" ht="22.5" customHeight="1">
      <c r="A7" s="31" t="s">
        <v>61</v>
      </c>
      <c r="B7" s="32">
        <f>+8.75</f>
        <v>8.75</v>
      </c>
      <c r="C7" s="33"/>
      <c r="D7" s="34" t="s">
        <v>62</v>
      </c>
      <c r="E7" s="21"/>
      <c r="F7" s="21"/>
      <c r="G7" s="21"/>
      <c r="H7" s="21"/>
      <c r="I7" s="21"/>
      <c r="J7" s="21"/>
      <c r="K7" s="21"/>
      <c r="L7" s="21"/>
      <c r="M7" s="21"/>
    </row>
    <row r="8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</row>
    <row r="9">
      <c r="A9" s="35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</row>
    <row r="10">
      <c r="A10" s="36"/>
      <c r="B10" s="36"/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</row>
    <row r="11" ht="22.5" customHeight="1">
      <c r="A11" s="20" t="s">
        <v>63</v>
      </c>
      <c r="B11" s="20" t="s">
        <v>64</v>
      </c>
      <c r="C11" s="20" t="s">
        <v>65</v>
      </c>
      <c r="D11" s="20" t="s">
        <v>66</v>
      </c>
      <c r="E11" s="20" t="s">
        <v>67</v>
      </c>
      <c r="F11" s="20" t="s">
        <v>68</v>
      </c>
      <c r="G11" s="20" t="s">
        <v>69</v>
      </c>
      <c r="H11" s="20" t="s">
        <v>70</v>
      </c>
      <c r="I11" s="20" t="s">
        <v>71</v>
      </c>
      <c r="J11" s="20" t="s">
        <v>72</v>
      </c>
      <c r="K11" s="20" t="s">
        <v>73</v>
      </c>
      <c r="L11" s="20" t="s">
        <v>74</v>
      </c>
      <c r="M11" s="20" t="s">
        <v>47</v>
      </c>
    </row>
    <row r="12" ht="22.5" customHeight="1">
      <c r="A12" s="37" t="s">
        <v>75</v>
      </c>
      <c r="B12" s="38">
        <v>4.0</v>
      </c>
      <c r="C12" s="38">
        <v>3.0</v>
      </c>
      <c r="D12" s="38">
        <v>2.0</v>
      </c>
      <c r="E12" s="38">
        <v>2.0</v>
      </c>
      <c r="F12" s="38">
        <v>3.0</v>
      </c>
      <c r="G12" s="38">
        <v>4.0</v>
      </c>
      <c r="H12" s="38">
        <v>3.0</v>
      </c>
      <c r="I12" s="38">
        <v>3.0</v>
      </c>
      <c r="J12" s="38">
        <v>2.0</v>
      </c>
      <c r="K12" s="38">
        <v>3.0</v>
      </c>
      <c r="L12" s="38">
        <v>19.0</v>
      </c>
      <c r="M12" s="39">
        <v>47.5</v>
      </c>
    </row>
    <row r="13" ht="22.5" customHeight="1">
      <c r="A13" s="37" t="s">
        <v>76</v>
      </c>
      <c r="B13" s="38">
        <v>3.0</v>
      </c>
      <c r="C13" s="38">
        <v>3.0</v>
      </c>
      <c r="D13" s="38">
        <v>3.0</v>
      </c>
      <c r="E13" s="38">
        <v>2.0</v>
      </c>
      <c r="F13" s="38">
        <v>3.0</v>
      </c>
      <c r="G13" s="38">
        <v>3.0</v>
      </c>
      <c r="H13" s="38">
        <v>4.0</v>
      </c>
      <c r="I13" s="38">
        <v>3.0</v>
      </c>
      <c r="J13" s="38">
        <v>3.0</v>
      </c>
      <c r="K13" s="38">
        <v>3.0</v>
      </c>
      <c r="L13" s="38">
        <v>22.0</v>
      </c>
      <c r="M13" s="39">
        <v>55.0</v>
      </c>
    </row>
    <row r="14" ht="22.5" customHeight="1">
      <c r="A14" s="37" t="s">
        <v>77</v>
      </c>
      <c r="B14" s="38">
        <v>2.0</v>
      </c>
      <c r="C14" s="38">
        <v>3.0</v>
      </c>
      <c r="D14" s="38">
        <v>4.0</v>
      </c>
      <c r="E14" s="38">
        <v>4.0</v>
      </c>
      <c r="F14" s="38">
        <v>4.0</v>
      </c>
      <c r="G14" s="38">
        <v>3.0</v>
      </c>
      <c r="H14" s="38">
        <v>3.0</v>
      </c>
      <c r="I14" s="38">
        <v>3.0</v>
      </c>
      <c r="J14" s="38">
        <v>4.0</v>
      </c>
      <c r="K14" s="38">
        <v>3.0</v>
      </c>
      <c r="L14" s="38">
        <v>21.0</v>
      </c>
      <c r="M14" s="39">
        <v>52.5</v>
      </c>
    </row>
    <row r="15" ht="22.5" customHeight="1">
      <c r="A15" s="37" t="s">
        <v>78</v>
      </c>
      <c r="B15" s="38">
        <v>4.0</v>
      </c>
      <c r="C15" s="38">
        <v>4.0</v>
      </c>
      <c r="D15" s="38">
        <v>3.0</v>
      </c>
      <c r="E15" s="38">
        <v>3.0</v>
      </c>
      <c r="F15" s="38">
        <v>2.0</v>
      </c>
      <c r="G15" s="38">
        <v>3.0</v>
      </c>
      <c r="H15" s="38">
        <v>3.0</v>
      </c>
      <c r="I15" s="38">
        <v>4.0</v>
      </c>
      <c r="J15" s="38">
        <v>3.0</v>
      </c>
      <c r="K15" s="38">
        <v>3.0</v>
      </c>
      <c r="L15" s="38">
        <v>18.0</v>
      </c>
      <c r="M15" s="39">
        <v>45.0</v>
      </c>
    </row>
    <row r="16" ht="22.5" customHeight="1">
      <c r="A16" s="37" t="s">
        <v>79</v>
      </c>
      <c r="B16" s="38">
        <v>4.0</v>
      </c>
      <c r="C16" s="38">
        <v>2.0</v>
      </c>
      <c r="D16" s="38">
        <v>3.0</v>
      </c>
      <c r="E16" s="38">
        <v>2.0</v>
      </c>
      <c r="F16" s="38">
        <v>3.0</v>
      </c>
      <c r="G16" s="38">
        <v>2.0</v>
      </c>
      <c r="H16" s="38">
        <v>4.0</v>
      </c>
      <c r="I16" s="38">
        <v>3.0</v>
      </c>
      <c r="J16" s="38">
        <v>4.0</v>
      </c>
      <c r="K16" s="38">
        <v>2.0</v>
      </c>
      <c r="L16" s="38">
        <v>27.0</v>
      </c>
      <c r="M16" s="39">
        <v>67.5</v>
      </c>
    </row>
    <row r="17" ht="22.5" customHeight="1">
      <c r="A17" s="37" t="s">
        <v>80</v>
      </c>
      <c r="B17" s="38">
        <v>2.0</v>
      </c>
      <c r="C17" s="38">
        <v>3.0</v>
      </c>
      <c r="D17" s="38">
        <v>3.0</v>
      </c>
      <c r="E17" s="38">
        <v>4.0</v>
      </c>
      <c r="F17" s="38">
        <v>3.0</v>
      </c>
      <c r="G17" s="38">
        <v>3.0</v>
      </c>
      <c r="H17" s="38">
        <v>2.0</v>
      </c>
      <c r="I17" s="38">
        <v>3.0</v>
      </c>
      <c r="J17" s="38">
        <v>3.0</v>
      </c>
      <c r="K17" s="38">
        <v>3.0</v>
      </c>
      <c r="L17" s="38">
        <v>17.0</v>
      </c>
      <c r="M17" s="39">
        <v>42.5</v>
      </c>
    </row>
    <row r="18" ht="22.5" customHeight="1">
      <c r="A18" s="37" t="s">
        <v>81</v>
      </c>
      <c r="B18" s="38">
        <v>3.0</v>
      </c>
      <c r="C18" s="38">
        <v>2.0</v>
      </c>
      <c r="D18" s="38">
        <v>5.0</v>
      </c>
      <c r="E18" s="38">
        <v>3.0</v>
      </c>
      <c r="F18" s="38">
        <v>5.0</v>
      </c>
      <c r="G18" s="38">
        <v>2.0</v>
      </c>
      <c r="H18" s="38">
        <v>4.0</v>
      </c>
      <c r="I18" s="38">
        <v>2.0</v>
      </c>
      <c r="J18" s="38">
        <v>5.0</v>
      </c>
      <c r="K18" s="38">
        <v>2.0</v>
      </c>
      <c r="L18" s="38">
        <v>31.0</v>
      </c>
      <c r="M18" s="39">
        <v>77.5</v>
      </c>
    </row>
    <row r="19" ht="22.5" customHeight="1">
      <c r="A19" s="37" t="s">
        <v>82</v>
      </c>
      <c r="B19" s="38">
        <v>4.0</v>
      </c>
      <c r="C19" s="38">
        <v>2.0</v>
      </c>
      <c r="D19" s="38">
        <v>4.0</v>
      </c>
      <c r="E19" s="38">
        <v>3.0</v>
      </c>
      <c r="F19" s="38">
        <v>5.0</v>
      </c>
      <c r="G19" s="38">
        <v>2.0</v>
      </c>
      <c r="H19" s="38">
        <v>3.0</v>
      </c>
      <c r="I19" s="38">
        <v>1.0</v>
      </c>
      <c r="J19" s="38">
        <v>4.0</v>
      </c>
      <c r="K19" s="38">
        <v>2.0</v>
      </c>
      <c r="L19" s="38">
        <v>30.0</v>
      </c>
      <c r="M19" s="39">
        <v>75.0</v>
      </c>
    </row>
    <row r="20" ht="22.5" customHeight="1">
      <c r="A20" s="37" t="s">
        <v>83</v>
      </c>
      <c r="B20" s="38">
        <v>4.0</v>
      </c>
      <c r="C20" s="38">
        <v>2.0</v>
      </c>
      <c r="D20" s="38">
        <v>3.0</v>
      </c>
      <c r="E20" s="38">
        <v>1.0</v>
      </c>
      <c r="F20" s="38">
        <v>4.0</v>
      </c>
      <c r="G20" s="38">
        <v>2.0</v>
      </c>
      <c r="H20" s="38">
        <v>4.0</v>
      </c>
      <c r="I20" s="38">
        <v>3.0</v>
      </c>
      <c r="J20" s="38">
        <v>4.0</v>
      </c>
      <c r="K20" s="38">
        <v>2.0</v>
      </c>
      <c r="L20" s="38">
        <v>29.0</v>
      </c>
      <c r="M20" s="39">
        <v>72.5</v>
      </c>
    </row>
    <row r="21" ht="22.5" customHeight="1">
      <c r="A21" s="37" t="s">
        <v>84</v>
      </c>
      <c r="B21" s="38">
        <v>5.0</v>
      </c>
      <c r="C21" s="38">
        <v>2.0</v>
      </c>
      <c r="D21" s="38">
        <v>4.0</v>
      </c>
      <c r="E21" s="38">
        <v>1.0</v>
      </c>
      <c r="F21" s="38">
        <v>4.0</v>
      </c>
      <c r="G21" s="38">
        <v>1.0</v>
      </c>
      <c r="H21" s="38">
        <v>4.0</v>
      </c>
      <c r="I21" s="38">
        <v>2.0</v>
      </c>
      <c r="J21" s="38">
        <v>4.0</v>
      </c>
      <c r="K21" s="38">
        <v>2.0</v>
      </c>
      <c r="L21" s="38">
        <v>33.0</v>
      </c>
      <c r="M21" s="39">
        <v>82.5</v>
      </c>
    </row>
    <row r="22" ht="22.5" customHeight="1">
      <c r="A22" s="37" t="s">
        <v>85</v>
      </c>
      <c r="B22" s="38">
        <v>4.0</v>
      </c>
      <c r="C22" s="38">
        <v>2.0</v>
      </c>
      <c r="D22" s="38">
        <v>4.0</v>
      </c>
      <c r="E22" s="38">
        <v>2.0</v>
      </c>
      <c r="F22" s="38">
        <v>4.0</v>
      </c>
      <c r="G22" s="38">
        <v>1.0</v>
      </c>
      <c r="H22" s="38">
        <v>4.0</v>
      </c>
      <c r="I22" s="38">
        <v>2.0</v>
      </c>
      <c r="J22" s="38">
        <v>5.0</v>
      </c>
      <c r="K22" s="38">
        <v>2.0</v>
      </c>
      <c r="L22" s="38">
        <v>32.0</v>
      </c>
      <c r="M22" s="39">
        <v>80.0</v>
      </c>
    </row>
    <row r="23" ht="22.5" customHeight="1">
      <c r="A23" s="37" t="s">
        <v>86</v>
      </c>
      <c r="B23" s="38">
        <v>2.0</v>
      </c>
      <c r="C23" s="38">
        <v>2.0</v>
      </c>
      <c r="D23" s="38">
        <v>4.0</v>
      </c>
      <c r="E23" s="38">
        <v>2.0</v>
      </c>
      <c r="F23" s="38">
        <v>3.0</v>
      </c>
      <c r="G23" s="38">
        <v>2.0</v>
      </c>
      <c r="H23" s="38">
        <v>4.0</v>
      </c>
      <c r="I23" s="38">
        <v>2.0</v>
      </c>
      <c r="J23" s="38">
        <v>3.0</v>
      </c>
      <c r="K23" s="38">
        <v>2.0</v>
      </c>
      <c r="L23" s="38">
        <v>26.0</v>
      </c>
      <c r="M23" s="39">
        <v>65.0</v>
      </c>
    </row>
    <row r="24" ht="22.5" customHeight="1">
      <c r="A24" s="40" t="s">
        <v>87</v>
      </c>
      <c r="B24" s="41"/>
      <c r="C24" s="41"/>
      <c r="D24" s="41"/>
      <c r="E24" s="41"/>
      <c r="F24" s="41"/>
      <c r="G24" s="41"/>
      <c r="H24" s="41"/>
      <c r="I24" s="41"/>
      <c r="J24" s="41"/>
      <c r="K24" s="41"/>
      <c r="L24" s="41"/>
      <c r="M24" s="42">
        <f>AVERAGE(M12:M23)</f>
        <v>63.54166667</v>
      </c>
    </row>
    <row r="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</row>
    <row r="26">
      <c r="A26" s="35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</row>
    <row r="27" ht="22.5" customHeight="1">
      <c r="A27" s="20" t="s">
        <v>63</v>
      </c>
      <c r="B27" s="20" t="s">
        <v>64</v>
      </c>
      <c r="C27" s="20" t="s">
        <v>65</v>
      </c>
      <c r="D27" s="20" t="s">
        <v>66</v>
      </c>
      <c r="E27" s="20" t="s">
        <v>67</v>
      </c>
      <c r="F27" s="20" t="s">
        <v>68</v>
      </c>
      <c r="G27" s="20" t="s">
        <v>69</v>
      </c>
      <c r="H27" s="20" t="s">
        <v>70</v>
      </c>
      <c r="I27" s="20" t="s">
        <v>71</v>
      </c>
      <c r="J27" s="20" t="s">
        <v>72</v>
      </c>
      <c r="K27" s="20" t="s">
        <v>73</v>
      </c>
      <c r="L27" s="20" t="s">
        <v>74</v>
      </c>
      <c r="M27" s="20" t="s">
        <v>47</v>
      </c>
    </row>
    <row r="28" ht="22.5" customHeight="1">
      <c r="A28" s="37" t="s">
        <v>75</v>
      </c>
      <c r="B28" s="38">
        <v>4.0</v>
      </c>
      <c r="C28" s="38">
        <v>3.0</v>
      </c>
      <c r="D28" s="38">
        <v>4.0</v>
      </c>
      <c r="E28" s="38">
        <v>3.0</v>
      </c>
      <c r="F28" s="38">
        <v>4.0</v>
      </c>
      <c r="G28" s="38">
        <v>3.0</v>
      </c>
      <c r="H28" s="38">
        <v>3.0</v>
      </c>
      <c r="I28" s="38">
        <v>3.0</v>
      </c>
      <c r="J28" s="38">
        <v>4.0</v>
      </c>
      <c r="K28" s="38">
        <v>3.0</v>
      </c>
      <c r="L28" s="38">
        <v>24.0</v>
      </c>
      <c r="M28" s="38">
        <v>60.0</v>
      </c>
    </row>
    <row r="29" ht="22.5" customHeight="1">
      <c r="A29" s="37" t="s">
        <v>76</v>
      </c>
      <c r="B29" s="38">
        <v>3.0</v>
      </c>
      <c r="C29" s="38">
        <v>3.0</v>
      </c>
      <c r="D29" s="38">
        <v>4.0</v>
      </c>
      <c r="E29" s="38">
        <v>2.0</v>
      </c>
      <c r="F29" s="38">
        <v>4.0</v>
      </c>
      <c r="G29" s="38">
        <v>3.0</v>
      </c>
      <c r="H29" s="38">
        <v>4.0</v>
      </c>
      <c r="I29" s="38">
        <v>2.0</v>
      </c>
      <c r="J29" s="38">
        <v>4.0</v>
      </c>
      <c r="K29" s="38">
        <v>3.0</v>
      </c>
      <c r="L29" s="38">
        <v>27.0</v>
      </c>
      <c r="M29" s="38">
        <v>64.0</v>
      </c>
    </row>
    <row r="30" ht="22.5" customHeight="1">
      <c r="A30" s="37" t="s">
        <v>77</v>
      </c>
      <c r="B30" s="38">
        <v>2.0</v>
      </c>
      <c r="C30" s="38">
        <v>2.0</v>
      </c>
      <c r="D30" s="38">
        <v>3.0</v>
      </c>
      <c r="E30" s="38">
        <v>3.0</v>
      </c>
      <c r="F30" s="38">
        <v>4.0</v>
      </c>
      <c r="G30" s="38">
        <v>2.0</v>
      </c>
      <c r="H30" s="38">
        <v>4.0</v>
      </c>
      <c r="I30" s="38">
        <v>3.0</v>
      </c>
      <c r="J30" s="38">
        <v>4.0</v>
      </c>
      <c r="K30" s="38">
        <v>2.0</v>
      </c>
      <c r="L30" s="38">
        <v>25.0</v>
      </c>
      <c r="M30" s="38">
        <v>62.5</v>
      </c>
    </row>
    <row r="31" ht="22.5" customHeight="1">
      <c r="A31" s="37" t="s">
        <v>78</v>
      </c>
      <c r="B31" s="38">
        <v>4.0</v>
      </c>
      <c r="C31" s="38">
        <v>3.0</v>
      </c>
      <c r="D31" s="38">
        <v>3.0</v>
      </c>
      <c r="E31" s="38">
        <v>2.0</v>
      </c>
      <c r="F31" s="38">
        <v>3.0</v>
      </c>
      <c r="G31" s="38">
        <v>2.0</v>
      </c>
      <c r="H31" s="38">
        <v>3.0</v>
      </c>
      <c r="I31" s="38">
        <v>3.0</v>
      </c>
      <c r="J31" s="38">
        <v>3.0</v>
      </c>
      <c r="K31" s="38">
        <v>3.0</v>
      </c>
      <c r="L31" s="38">
        <v>23.0</v>
      </c>
      <c r="M31" s="38">
        <v>57.5</v>
      </c>
    </row>
    <row r="32" ht="22.5" customHeight="1">
      <c r="A32" s="37" t="s">
        <v>79</v>
      </c>
      <c r="B32" s="38">
        <v>4.0</v>
      </c>
      <c r="C32" s="38">
        <v>2.0</v>
      </c>
      <c r="D32" s="38">
        <v>4.0</v>
      </c>
      <c r="E32" s="38">
        <v>3.0</v>
      </c>
      <c r="F32" s="38">
        <v>4.0</v>
      </c>
      <c r="G32" s="38">
        <v>1.0</v>
      </c>
      <c r="H32" s="38">
        <v>4.0</v>
      </c>
      <c r="I32" s="38">
        <v>2.0</v>
      </c>
      <c r="J32" s="38">
        <v>5.0</v>
      </c>
      <c r="K32" s="38">
        <v>2.0</v>
      </c>
      <c r="L32" s="38">
        <v>31.0</v>
      </c>
      <c r="M32" s="38">
        <v>77.5</v>
      </c>
    </row>
    <row r="33" ht="22.5" customHeight="1">
      <c r="A33" s="37" t="s">
        <v>80</v>
      </c>
      <c r="B33" s="38">
        <v>2.0</v>
      </c>
      <c r="C33" s="38">
        <v>3.0</v>
      </c>
      <c r="D33" s="38">
        <v>4.0</v>
      </c>
      <c r="E33" s="38">
        <v>3.0</v>
      </c>
      <c r="F33" s="38">
        <v>3.0</v>
      </c>
      <c r="G33" s="38">
        <v>3.0</v>
      </c>
      <c r="H33" s="38">
        <v>4.0</v>
      </c>
      <c r="I33" s="38">
        <v>3.0</v>
      </c>
      <c r="J33" s="38">
        <v>3.0</v>
      </c>
      <c r="K33" s="38">
        <v>2.0</v>
      </c>
      <c r="L33" s="38">
        <v>22.0</v>
      </c>
      <c r="M33" s="38">
        <v>55.0</v>
      </c>
    </row>
    <row r="34" ht="22.5" customHeight="1">
      <c r="A34" s="37" t="s">
        <v>81</v>
      </c>
      <c r="B34" s="38">
        <v>5.0</v>
      </c>
      <c r="C34" s="38">
        <v>1.0</v>
      </c>
      <c r="D34" s="38">
        <v>4.0</v>
      </c>
      <c r="E34" s="38">
        <v>2.0</v>
      </c>
      <c r="F34" s="38">
        <v>5.0</v>
      </c>
      <c r="G34" s="38">
        <v>2.0</v>
      </c>
      <c r="H34" s="38">
        <v>4.0</v>
      </c>
      <c r="I34" s="38">
        <v>1.0</v>
      </c>
      <c r="J34" s="38">
        <v>4.0</v>
      </c>
      <c r="K34" s="38">
        <v>2.0</v>
      </c>
      <c r="L34" s="38">
        <v>34.0</v>
      </c>
      <c r="M34" s="38">
        <v>85.0</v>
      </c>
    </row>
    <row r="35" ht="22.5" customHeight="1">
      <c r="A35" s="37" t="s">
        <v>82</v>
      </c>
      <c r="B35" s="38">
        <v>5.0</v>
      </c>
      <c r="C35" s="38">
        <v>2.0</v>
      </c>
      <c r="D35" s="38">
        <v>4.0</v>
      </c>
      <c r="E35" s="38">
        <v>1.0</v>
      </c>
      <c r="F35" s="38">
        <v>4.0</v>
      </c>
      <c r="G35" s="38">
        <v>2.0</v>
      </c>
      <c r="H35" s="38">
        <v>5.0</v>
      </c>
      <c r="I35" s="38">
        <v>2.0</v>
      </c>
      <c r="J35" s="38">
        <v>4.0</v>
      </c>
      <c r="K35" s="38">
        <v>2.0</v>
      </c>
      <c r="L35" s="38">
        <v>33.0</v>
      </c>
      <c r="M35" s="38">
        <v>82.5</v>
      </c>
    </row>
    <row r="36" ht="22.5" customHeight="1">
      <c r="A36" s="37" t="s">
        <v>83</v>
      </c>
      <c r="B36" s="38">
        <v>3.0</v>
      </c>
      <c r="C36" s="38">
        <v>2.0</v>
      </c>
      <c r="D36" s="38">
        <v>5.0</v>
      </c>
      <c r="E36" s="38">
        <v>2.0</v>
      </c>
      <c r="F36" s="38">
        <v>5.0</v>
      </c>
      <c r="G36" s="38">
        <v>2.0</v>
      </c>
      <c r="H36" s="38">
        <v>4.0</v>
      </c>
      <c r="I36" s="38">
        <v>2.0</v>
      </c>
      <c r="J36" s="38">
        <v>5.0</v>
      </c>
      <c r="K36" s="38">
        <v>2.0</v>
      </c>
      <c r="L36" s="38">
        <v>32.0</v>
      </c>
      <c r="M36" s="38">
        <v>80.0</v>
      </c>
    </row>
    <row r="37" ht="22.5" customHeight="1">
      <c r="A37" s="37" t="s">
        <v>84</v>
      </c>
      <c r="B37" s="38">
        <v>4.0</v>
      </c>
      <c r="C37" s="38">
        <v>2.0</v>
      </c>
      <c r="D37" s="38">
        <v>5.0</v>
      </c>
      <c r="E37" s="38">
        <v>1.0</v>
      </c>
      <c r="F37" s="38">
        <v>4.0</v>
      </c>
      <c r="G37" s="38">
        <v>1.0</v>
      </c>
      <c r="H37" s="38">
        <v>5.0</v>
      </c>
      <c r="I37" s="38">
        <v>2.0</v>
      </c>
      <c r="J37" s="38">
        <v>5.0</v>
      </c>
      <c r="K37" s="38">
        <v>1.0</v>
      </c>
      <c r="L37" s="38">
        <v>36.0</v>
      </c>
      <c r="M37" s="38">
        <v>90.0</v>
      </c>
    </row>
    <row r="38" ht="22.5" customHeight="1">
      <c r="A38" s="37" t="s">
        <v>85</v>
      </c>
      <c r="B38" s="38">
        <v>5.0</v>
      </c>
      <c r="C38" s="38">
        <v>2.0</v>
      </c>
      <c r="D38" s="38">
        <v>4.0</v>
      </c>
      <c r="E38" s="38">
        <v>1.0</v>
      </c>
      <c r="F38" s="38">
        <v>4.0</v>
      </c>
      <c r="G38" s="38">
        <v>2.0</v>
      </c>
      <c r="H38" s="38">
        <v>5.0</v>
      </c>
      <c r="I38" s="38">
        <v>2.0</v>
      </c>
      <c r="J38" s="38">
        <v>4.0</v>
      </c>
      <c r="K38" s="38">
        <v>1.0</v>
      </c>
      <c r="L38" s="38">
        <v>34.0</v>
      </c>
      <c r="M38" s="38">
        <v>85.0</v>
      </c>
    </row>
    <row r="39" ht="22.5" customHeight="1">
      <c r="A39" s="37" t="s">
        <v>86</v>
      </c>
      <c r="B39" s="38">
        <v>3.0</v>
      </c>
      <c r="C39" s="38">
        <v>2.0</v>
      </c>
      <c r="D39" s="38">
        <v>4.0</v>
      </c>
      <c r="E39" s="38">
        <v>3.0</v>
      </c>
      <c r="F39" s="38">
        <v>4.0</v>
      </c>
      <c r="G39" s="38">
        <v>2.0</v>
      </c>
      <c r="H39" s="38">
        <v>3.0</v>
      </c>
      <c r="I39" s="38">
        <v>2.0</v>
      </c>
      <c r="J39" s="38">
        <v>4.0</v>
      </c>
      <c r="K39" s="38">
        <v>2.0</v>
      </c>
      <c r="L39" s="38">
        <v>27.0</v>
      </c>
      <c r="M39" s="38">
        <v>67.5</v>
      </c>
    </row>
    <row r="40" ht="22.5" customHeight="1">
      <c r="A40" s="40" t="s">
        <v>88</v>
      </c>
      <c r="B40" s="41"/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3">
        <f>AVERAGE(M28:M39)</f>
        <v>72.20833333</v>
      </c>
    </row>
  </sheetData>
  <dataValidations>
    <dataValidation type="custom" allowBlank="1" showDropDown="1" sqref="M12:M24">
      <formula1>AND(ISNUMBER(M12),(NOT(OR(NOT(ISERROR(DATEVALUE(M12))), AND(ISNUMBER(M12), LEFT(CELL("format", M12))="D")))))</formula1>
    </dataValidation>
  </dataValidations>
  <drawing r:id="rId1"/>
  <tableParts count="3"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1.0"/>
    <col customWidth="1" min="3" max="3" width="24.5"/>
    <col customWidth="1" min="4" max="4" width="56.5"/>
    <col customWidth="1" min="5" max="5" width="11.0"/>
    <col customWidth="1" min="6" max="6" width="13.38"/>
    <col customWidth="1" min="7" max="7" width="14.75"/>
    <col customWidth="1" min="8" max="8" width="15.88"/>
  </cols>
  <sheetData>
    <row r="1" ht="22.5" customHeight="1">
      <c r="A1" s="44" t="s">
        <v>89</v>
      </c>
      <c r="B1" s="45" t="s">
        <v>90</v>
      </c>
      <c r="C1" s="44" t="s">
        <v>91</v>
      </c>
      <c r="D1" s="45" t="s">
        <v>92</v>
      </c>
      <c r="E1" s="44" t="s">
        <v>93</v>
      </c>
      <c r="F1" s="44" t="s">
        <v>94</v>
      </c>
      <c r="G1" s="44" t="s">
        <v>95</v>
      </c>
      <c r="H1" s="44" t="s">
        <v>96</v>
      </c>
      <c r="J1" s="44" t="s">
        <v>97</v>
      </c>
      <c r="K1" s="44" t="s">
        <v>98</v>
      </c>
      <c r="L1" s="44" t="s">
        <v>99</v>
      </c>
      <c r="N1" s="46"/>
    </row>
    <row r="2" ht="22.5" customHeight="1">
      <c r="A2" s="47" t="s">
        <v>75</v>
      </c>
      <c r="B2" s="48" t="s">
        <v>100</v>
      </c>
      <c r="C2" s="47" t="s">
        <v>101</v>
      </c>
      <c r="D2" s="48" t="s">
        <v>102</v>
      </c>
      <c r="E2" s="49" t="s">
        <v>103</v>
      </c>
      <c r="F2" s="50" t="s">
        <v>104</v>
      </c>
      <c r="G2" s="50" t="s">
        <v>105</v>
      </c>
      <c r="H2" s="47" t="s">
        <v>106</v>
      </c>
      <c r="J2" s="51">
        <f>COUNTIF($H:$H, "*G*") + $N$2</f>
        <v>34</v>
      </c>
      <c r="K2" s="51">
        <f>COUNTIF($H:$H, "*M*") + $N$2</f>
        <v>22</v>
      </c>
      <c r="L2" s="51">
        <f>COUNTIF($H:$H, "*D*") + $N$2</f>
        <v>19</v>
      </c>
      <c r="N2" s="52"/>
    </row>
    <row r="3" ht="22.5" customHeight="1">
      <c r="A3" s="47" t="s">
        <v>76</v>
      </c>
      <c r="B3" s="48" t="s">
        <v>107</v>
      </c>
      <c r="C3" s="47" t="s">
        <v>108</v>
      </c>
      <c r="D3" s="48" t="s">
        <v>109</v>
      </c>
      <c r="E3" s="49" t="s">
        <v>104</v>
      </c>
      <c r="F3" s="50" t="s">
        <v>105</v>
      </c>
      <c r="G3" s="50" t="s">
        <v>110</v>
      </c>
      <c r="H3" s="47" t="s">
        <v>106</v>
      </c>
    </row>
    <row r="4" ht="22.5" customHeight="1">
      <c r="A4" s="47" t="s">
        <v>77</v>
      </c>
      <c r="B4" s="48" t="s">
        <v>111</v>
      </c>
      <c r="C4" s="47" t="s">
        <v>112</v>
      </c>
      <c r="D4" s="48" t="s">
        <v>113</v>
      </c>
      <c r="E4" s="44" t="s">
        <v>114</v>
      </c>
      <c r="F4" s="50" t="s">
        <v>105</v>
      </c>
      <c r="G4" s="50" t="s">
        <v>105</v>
      </c>
      <c r="H4" s="47" t="s">
        <v>115</v>
      </c>
    </row>
    <row r="5" ht="22.5" customHeight="1">
      <c r="A5" s="47" t="s">
        <v>78</v>
      </c>
      <c r="B5" s="48" t="s">
        <v>116</v>
      </c>
      <c r="C5" s="47" t="s">
        <v>112</v>
      </c>
      <c r="D5" s="48" t="s">
        <v>117</v>
      </c>
      <c r="E5" s="49" t="s">
        <v>103</v>
      </c>
      <c r="F5" s="50" t="s">
        <v>110</v>
      </c>
      <c r="G5" s="50" t="s">
        <v>105</v>
      </c>
      <c r="H5" s="47" t="s">
        <v>118</v>
      </c>
      <c r="J5" s="44" t="s">
        <v>93</v>
      </c>
      <c r="K5" s="44" t="s">
        <v>119</v>
      </c>
    </row>
    <row r="6" ht="22.5" customHeight="1">
      <c r="A6" s="47" t="s">
        <v>79</v>
      </c>
      <c r="B6" s="48" t="s">
        <v>120</v>
      </c>
      <c r="C6" s="47" t="s">
        <v>112</v>
      </c>
      <c r="D6" s="48" t="s">
        <v>121</v>
      </c>
      <c r="E6" s="44" t="s">
        <v>122</v>
      </c>
      <c r="F6" s="50" t="s">
        <v>104</v>
      </c>
      <c r="G6" s="50" t="s">
        <v>105</v>
      </c>
      <c r="H6" s="47" t="s">
        <v>97</v>
      </c>
      <c r="J6" s="47">
        <v>1.0</v>
      </c>
      <c r="K6" s="51">
        <f>COUNTIF($E:$E, "*" &amp; J6 &amp; "*") - K15</f>
        <v>13</v>
      </c>
    </row>
    <row r="7" ht="22.5" customHeight="1">
      <c r="A7" s="47" t="s">
        <v>80</v>
      </c>
      <c r="B7" s="48" t="s">
        <v>123</v>
      </c>
      <c r="C7" s="47" t="s">
        <v>112</v>
      </c>
      <c r="D7" s="48" t="s">
        <v>124</v>
      </c>
      <c r="E7" s="49" t="s">
        <v>105</v>
      </c>
      <c r="F7" s="50" t="s">
        <v>105</v>
      </c>
      <c r="G7" s="50" t="s">
        <v>105</v>
      </c>
      <c r="H7" s="47" t="s">
        <v>115</v>
      </c>
      <c r="J7" s="47">
        <v>2.0</v>
      </c>
      <c r="K7" s="51">
        <f t="shared" ref="K7:K14" si="1">COUNTIF($E:$E, "*" &amp; J7 &amp; "*")</f>
        <v>8</v>
      </c>
    </row>
    <row r="8" ht="22.5" customHeight="1">
      <c r="A8" s="47" t="s">
        <v>81</v>
      </c>
      <c r="B8" s="48" t="s">
        <v>125</v>
      </c>
      <c r="C8" s="47" t="s">
        <v>112</v>
      </c>
      <c r="D8" s="48" t="s">
        <v>126</v>
      </c>
      <c r="E8" s="44" t="s">
        <v>127</v>
      </c>
      <c r="F8" s="50" t="s">
        <v>110</v>
      </c>
      <c r="G8" s="50" t="s">
        <v>104</v>
      </c>
      <c r="H8" s="47" t="s">
        <v>118</v>
      </c>
      <c r="J8" s="47">
        <v>3.0</v>
      </c>
      <c r="K8" s="51">
        <f t="shared" si="1"/>
        <v>3</v>
      </c>
    </row>
    <row r="9" ht="22.5" customHeight="1">
      <c r="A9" s="47" t="s">
        <v>82</v>
      </c>
      <c r="B9" s="48" t="s">
        <v>128</v>
      </c>
      <c r="C9" s="47" t="s">
        <v>112</v>
      </c>
      <c r="D9" s="48" t="s">
        <v>129</v>
      </c>
      <c r="E9" s="49" t="s">
        <v>104</v>
      </c>
      <c r="F9" s="50" t="s">
        <v>104</v>
      </c>
      <c r="G9" s="50" t="s">
        <v>104</v>
      </c>
      <c r="H9" s="47" t="s">
        <v>130</v>
      </c>
      <c r="J9" s="47">
        <v>4.0</v>
      </c>
      <c r="K9" s="51">
        <f t="shared" si="1"/>
        <v>11</v>
      </c>
    </row>
    <row r="10" ht="22.5" customHeight="1">
      <c r="A10" s="47" t="s">
        <v>83</v>
      </c>
      <c r="B10" s="48" t="s">
        <v>131</v>
      </c>
      <c r="C10" s="47" t="s">
        <v>112</v>
      </c>
      <c r="D10" s="48" t="s">
        <v>132</v>
      </c>
      <c r="E10" s="49" t="s">
        <v>133</v>
      </c>
      <c r="F10" s="50" t="s">
        <v>104</v>
      </c>
      <c r="G10" s="50" t="s">
        <v>104</v>
      </c>
      <c r="H10" s="47" t="s">
        <v>99</v>
      </c>
      <c r="J10" s="47">
        <v>5.0</v>
      </c>
      <c r="K10" s="51">
        <f t="shared" si="1"/>
        <v>5</v>
      </c>
    </row>
    <row r="11" ht="22.5" customHeight="1">
      <c r="A11" s="47" t="s">
        <v>84</v>
      </c>
      <c r="B11" s="48" t="s">
        <v>134</v>
      </c>
      <c r="C11" s="47" t="s">
        <v>112</v>
      </c>
      <c r="D11" s="48" t="s">
        <v>135</v>
      </c>
      <c r="E11" s="49" t="s">
        <v>105</v>
      </c>
      <c r="F11" s="50" t="s">
        <v>104</v>
      </c>
      <c r="G11" s="50" t="s">
        <v>104</v>
      </c>
      <c r="H11" s="47" t="s">
        <v>106</v>
      </c>
      <c r="J11" s="47">
        <v>6.0</v>
      </c>
      <c r="K11" s="51">
        <f t="shared" si="1"/>
        <v>5</v>
      </c>
    </row>
    <row r="12" ht="22.5" customHeight="1">
      <c r="A12" s="47" t="s">
        <v>85</v>
      </c>
      <c r="B12" s="48" t="s">
        <v>136</v>
      </c>
      <c r="C12" s="47" t="s">
        <v>112</v>
      </c>
      <c r="D12" s="48" t="s">
        <v>137</v>
      </c>
      <c r="E12" s="49" t="s">
        <v>138</v>
      </c>
      <c r="F12" s="50" t="s">
        <v>104</v>
      </c>
      <c r="G12" s="50" t="s">
        <v>105</v>
      </c>
      <c r="H12" s="47" t="s">
        <v>115</v>
      </c>
      <c r="J12" s="47">
        <v>7.0</v>
      </c>
      <c r="K12" s="51">
        <f t="shared" si="1"/>
        <v>6</v>
      </c>
    </row>
    <row r="13" ht="22.5" customHeight="1">
      <c r="A13" s="47" t="s">
        <v>86</v>
      </c>
      <c r="B13" s="48" t="s">
        <v>139</v>
      </c>
      <c r="C13" s="47" t="s">
        <v>112</v>
      </c>
      <c r="D13" s="48" t="s">
        <v>140</v>
      </c>
      <c r="E13" s="49" t="s">
        <v>141</v>
      </c>
      <c r="F13" s="50" t="s">
        <v>104</v>
      </c>
      <c r="G13" s="50" t="s">
        <v>104</v>
      </c>
      <c r="H13" s="47" t="s">
        <v>99</v>
      </c>
      <c r="J13" s="47">
        <v>8.0</v>
      </c>
      <c r="K13" s="51">
        <f t="shared" si="1"/>
        <v>7</v>
      </c>
    </row>
    <row r="14" ht="22.5" customHeight="1">
      <c r="A14" s="47" t="s">
        <v>142</v>
      </c>
      <c r="B14" s="48" t="s">
        <v>143</v>
      </c>
      <c r="C14" s="47" t="s">
        <v>112</v>
      </c>
      <c r="D14" s="48" t="s">
        <v>144</v>
      </c>
      <c r="E14" s="44" t="s">
        <v>127</v>
      </c>
      <c r="F14" s="50" t="s">
        <v>104</v>
      </c>
      <c r="G14" s="50" t="s">
        <v>104</v>
      </c>
      <c r="H14" s="47" t="s">
        <v>98</v>
      </c>
      <c r="J14" s="47">
        <v>9.0</v>
      </c>
      <c r="K14" s="51">
        <f t="shared" si="1"/>
        <v>2</v>
      </c>
    </row>
    <row r="15" ht="22.5" customHeight="1">
      <c r="A15" s="47" t="s">
        <v>145</v>
      </c>
      <c r="B15" s="48" t="s">
        <v>146</v>
      </c>
      <c r="C15" s="47" t="s">
        <v>147</v>
      </c>
      <c r="D15" s="48" t="s">
        <v>148</v>
      </c>
      <c r="E15" s="49" t="s">
        <v>105</v>
      </c>
      <c r="F15" s="50" t="s">
        <v>105</v>
      </c>
      <c r="G15" s="50" t="s">
        <v>104</v>
      </c>
      <c r="H15" s="47" t="s">
        <v>106</v>
      </c>
      <c r="J15" s="47">
        <v>10.0</v>
      </c>
      <c r="K15" s="47">
        <v>1.0</v>
      </c>
    </row>
    <row r="16" ht="22.5" customHeight="1">
      <c r="A16" s="47" t="s">
        <v>149</v>
      </c>
      <c r="B16" s="48" t="s">
        <v>150</v>
      </c>
      <c r="C16" s="47" t="s">
        <v>151</v>
      </c>
      <c r="D16" s="48" t="s">
        <v>152</v>
      </c>
      <c r="E16" s="49" t="s">
        <v>105</v>
      </c>
      <c r="F16" s="50" t="s">
        <v>104</v>
      </c>
      <c r="G16" s="50" t="s">
        <v>104</v>
      </c>
      <c r="H16" s="47" t="s">
        <v>97</v>
      </c>
    </row>
    <row r="17" ht="22.5" customHeight="1">
      <c r="A17" s="47" t="s">
        <v>153</v>
      </c>
      <c r="B17" s="48" t="s">
        <v>154</v>
      </c>
      <c r="C17" s="47" t="s">
        <v>155</v>
      </c>
      <c r="D17" s="48" t="s">
        <v>156</v>
      </c>
      <c r="E17" s="49" t="s">
        <v>133</v>
      </c>
      <c r="F17" s="50" t="s">
        <v>104</v>
      </c>
      <c r="G17" s="50" t="s">
        <v>104</v>
      </c>
      <c r="H17" s="47" t="s">
        <v>98</v>
      </c>
    </row>
    <row r="18" ht="22.5" customHeight="1">
      <c r="A18" s="47" t="s">
        <v>157</v>
      </c>
      <c r="B18" s="48" t="s">
        <v>158</v>
      </c>
      <c r="C18" s="47" t="s">
        <v>159</v>
      </c>
      <c r="D18" s="48" t="s">
        <v>160</v>
      </c>
      <c r="E18" s="44" t="s">
        <v>161</v>
      </c>
      <c r="F18" s="50" t="s">
        <v>104</v>
      </c>
      <c r="G18" s="50" t="s">
        <v>104</v>
      </c>
      <c r="H18" s="47" t="s">
        <v>97</v>
      </c>
      <c r="J18" s="44" t="s">
        <v>162</v>
      </c>
      <c r="K18" s="44" t="s">
        <v>119</v>
      </c>
    </row>
    <row r="19" ht="22.5" customHeight="1">
      <c r="A19" s="47" t="s">
        <v>163</v>
      </c>
      <c r="B19" s="48" t="s">
        <v>164</v>
      </c>
      <c r="C19" s="47" t="s">
        <v>159</v>
      </c>
      <c r="D19" s="48" t="s">
        <v>165</v>
      </c>
      <c r="E19" s="49" t="s">
        <v>166</v>
      </c>
      <c r="F19" s="50" t="s">
        <v>104</v>
      </c>
      <c r="G19" s="50" t="s">
        <v>104</v>
      </c>
      <c r="H19" s="47" t="s">
        <v>106</v>
      </c>
      <c r="J19" s="47">
        <v>1.0</v>
      </c>
      <c r="K19" s="51">
        <f>COUNTIF(Tabella_2[Severità], J19)</f>
        <v>20</v>
      </c>
    </row>
    <row r="20" ht="22.5" customHeight="1">
      <c r="A20" s="47" t="s">
        <v>167</v>
      </c>
      <c r="B20" s="48" t="s">
        <v>168</v>
      </c>
      <c r="C20" s="47" t="s">
        <v>159</v>
      </c>
      <c r="D20" s="48" t="s">
        <v>169</v>
      </c>
      <c r="E20" s="49" t="s">
        <v>170</v>
      </c>
      <c r="F20" s="50" t="s">
        <v>110</v>
      </c>
      <c r="G20" s="50" t="s">
        <v>104</v>
      </c>
      <c r="H20" s="47" t="s">
        <v>118</v>
      </c>
      <c r="J20" s="47">
        <v>2.0</v>
      </c>
      <c r="K20" s="51">
        <f>COUNTIF(Tabella_2[Severità], J20)</f>
        <v>16</v>
      </c>
    </row>
    <row r="21" ht="22.5" customHeight="1">
      <c r="A21" s="47" t="s">
        <v>171</v>
      </c>
      <c r="B21" s="48" t="s">
        <v>172</v>
      </c>
      <c r="C21" s="47" t="s">
        <v>159</v>
      </c>
      <c r="D21" s="48" t="s">
        <v>173</v>
      </c>
      <c r="E21" s="44" t="s">
        <v>174</v>
      </c>
      <c r="F21" s="50" t="s">
        <v>105</v>
      </c>
      <c r="G21" s="50" t="s">
        <v>110</v>
      </c>
      <c r="H21" s="47" t="s">
        <v>106</v>
      </c>
      <c r="J21" s="47">
        <v>3.0</v>
      </c>
      <c r="K21" s="51">
        <f>COUNTIF(Tabella_2[Severità], J21)</f>
        <v>4</v>
      </c>
    </row>
    <row r="22" ht="22.5" customHeight="1">
      <c r="A22" s="47" t="s">
        <v>175</v>
      </c>
      <c r="B22" s="48" t="s">
        <v>176</v>
      </c>
      <c r="C22" s="47" t="s">
        <v>177</v>
      </c>
      <c r="D22" s="48" t="s">
        <v>178</v>
      </c>
      <c r="E22" s="44" t="s">
        <v>179</v>
      </c>
      <c r="F22" s="50" t="s">
        <v>110</v>
      </c>
      <c r="G22" s="50" t="s">
        <v>105</v>
      </c>
      <c r="H22" s="47" t="s">
        <v>118</v>
      </c>
      <c r="J22" s="47">
        <v>4.0</v>
      </c>
      <c r="K22" s="51">
        <f>COUNTIF(Tabella_2[Severità], J22)</f>
        <v>1</v>
      </c>
    </row>
    <row r="23" ht="22.5" customHeight="1">
      <c r="A23" s="47" t="s">
        <v>180</v>
      </c>
      <c r="B23" s="48" t="s">
        <v>181</v>
      </c>
      <c r="C23" s="47" t="s">
        <v>182</v>
      </c>
      <c r="D23" s="48" t="s">
        <v>183</v>
      </c>
      <c r="E23" s="44" t="s">
        <v>161</v>
      </c>
      <c r="F23" s="50" t="s">
        <v>104</v>
      </c>
      <c r="G23" s="50" t="s">
        <v>104</v>
      </c>
      <c r="H23" s="47" t="s">
        <v>97</v>
      </c>
    </row>
    <row r="24" ht="22.5" customHeight="1">
      <c r="A24" s="47" t="s">
        <v>184</v>
      </c>
      <c r="B24" s="48" t="s">
        <v>164</v>
      </c>
      <c r="C24" s="47" t="s">
        <v>182</v>
      </c>
      <c r="D24" s="48" t="s">
        <v>185</v>
      </c>
      <c r="E24" s="49" t="s">
        <v>166</v>
      </c>
      <c r="F24" s="50" t="s">
        <v>104</v>
      </c>
      <c r="G24" s="50" t="s">
        <v>104</v>
      </c>
      <c r="H24" s="47" t="s">
        <v>115</v>
      </c>
    </row>
    <row r="25" ht="22.5" customHeight="1">
      <c r="A25" s="47" t="s">
        <v>186</v>
      </c>
      <c r="B25" s="48" t="s">
        <v>187</v>
      </c>
      <c r="C25" s="47" t="s">
        <v>182</v>
      </c>
      <c r="D25" s="48" t="s">
        <v>188</v>
      </c>
      <c r="E25" s="49" t="s">
        <v>138</v>
      </c>
      <c r="F25" s="50" t="s">
        <v>104</v>
      </c>
      <c r="G25" s="50" t="s">
        <v>105</v>
      </c>
      <c r="H25" s="47" t="s">
        <v>97</v>
      </c>
    </row>
    <row r="26" ht="22.5" customHeight="1">
      <c r="A26" s="47" t="s">
        <v>189</v>
      </c>
      <c r="B26" s="48" t="s">
        <v>190</v>
      </c>
      <c r="C26" s="47" t="s">
        <v>191</v>
      </c>
      <c r="D26" s="48" t="s">
        <v>192</v>
      </c>
      <c r="E26" s="44" t="s">
        <v>179</v>
      </c>
      <c r="F26" s="50" t="s">
        <v>110</v>
      </c>
      <c r="G26" s="50" t="s">
        <v>104</v>
      </c>
      <c r="H26" s="47" t="s">
        <v>118</v>
      </c>
    </row>
    <row r="27" ht="22.5" customHeight="1">
      <c r="A27" s="47" t="s">
        <v>193</v>
      </c>
      <c r="B27" s="48" t="s">
        <v>194</v>
      </c>
      <c r="C27" s="47" t="s">
        <v>191</v>
      </c>
      <c r="D27" s="48" t="s">
        <v>195</v>
      </c>
      <c r="E27" s="44" t="s">
        <v>179</v>
      </c>
      <c r="F27" s="50" t="s">
        <v>105</v>
      </c>
      <c r="G27" s="50" t="s">
        <v>105</v>
      </c>
      <c r="H27" s="47" t="s">
        <v>115</v>
      </c>
    </row>
    <row r="28" ht="22.5" customHeight="1">
      <c r="A28" s="47" t="s">
        <v>196</v>
      </c>
      <c r="B28" s="48" t="s">
        <v>197</v>
      </c>
      <c r="C28" s="47" t="s">
        <v>191</v>
      </c>
      <c r="D28" s="48" t="s">
        <v>198</v>
      </c>
      <c r="E28" s="49" t="s">
        <v>110</v>
      </c>
      <c r="F28" s="50" t="s">
        <v>104</v>
      </c>
      <c r="G28" s="50" t="s">
        <v>105</v>
      </c>
      <c r="H28" s="47" t="s">
        <v>99</v>
      </c>
    </row>
    <row r="29" ht="22.5" customHeight="1">
      <c r="A29" s="47" t="s">
        <v>199</v>
      </c>
      <c r="B29" s="48" t="s">
        <v>200</v>
      </c>
      <c r="C29" s="47" t="s">
        <v>191</v>
      </c>
      <c r="D29" s="48" t="s">
        <v>201</v>
      </c>
      <c r="E29" s="49" t="s">
        <v>103</v>
      </c>
      <c r="F29" s="50" t="s">
        <v>104</v>
      </c>
      <c r="G29" s="50" t="s">
        <v>104</v>
      </c>
      <c r="H29" s="47" t="s">
        <v>97</v>
      </c>
    </row>
    <row r="30" ht="22.5" customHeight="1">
      <c r="A30" s="47" t="s">
        <v>202</v>
      </c>
      <c r="B30" s="48" t="s">
        <v>203</v>
      </c>
      <c r="C30" s="47" t="s">
        <v>204</v>
      </c>
      <c r="D30" s="48" t="s">
        <v>205</v>
      </c>
      <c r="E30" s="44" t="s">
        <v>179</v>
      </c>
      <c r="F30" s="50" t="s">
        <v>105</v>
      </c>
      <c r="G30" s="50" t="s">
        <v>104</v>
      </c>
      <c r="H30" s="47" t="s">
        <v>115</v>
      </c>
    </row>
    <row r="31" ht="22.5" customHeight="1">
      <c r="A31" s="47" t="s">
        <v>206</v>
      </c>
      <c r="B31" s="48" t="s">
        <v>207</v>
      </c>
      <c r="C31" s="47" t="s">
        <v>208</v>
      </c>
      <c r="D31" s="48" t="s">
        <v>209</v>
      </c>
      <c r="E31" s="44" t="s">
        <v>210</v>
      </c>
      <c r="F31" s="50" t="s">
        <v>104</v>
      </c>
      <c r="G31" s="50" t="s">
        <v>104</v>
      </c>
      <c r="H31" s="47" t="s">
        <v>118</v>
      </c>
    </row>
    <row r="32" ht="22.5" customHeight="1">
      <c r="A32" s="47" t="s">
        <v>211</v>
      </c>
      <c r="B32" s="48" t="s">
        <v>212</v>
      </c>
      <c r="C32" s="47" t="s">
        <v>213</v>
      </c>
      <c r="D32" s="48" t="s">
        <v>214</v>
      </c>
      <c r="E32" s="49" t="s">
        <v>138</v>
      </c>
      <c r="F32" s="50" t="s">
        <v>104</v>
      </c>
      <c r="G32" s="50" t="s">
        <v>105</v>
      </c>
      <c r="H32" s="47" t="s">
        <v>97</v>
      </c>
    </row>
    <row r="33" ht="22.5" customHeight="1">
      <c r="A33" s="47" t="s">
        <v>215</v>
      </c>
      <c r="B33" s="48" t="s">
        <v>216</v>
      </c>
      <c r="C33" s="47" t="s">
        <v>217</v>
      </c>
      <c r="D33" s="48" t="s">
        <v>218</v>
      </c>
      <c r="E33" s="44" t="s">
        <v>219</v>
      </c>
      <c r="F33" s="50" t="s">
        <v>110</v>
      </c>
      <c r="G33" s="50" t="s">
        <v>103</v>
      </c>
      <c r="H33" s="47" t="s">
        <v>118</v>
      </c>
    </row>
    <row r="34" ht="22.5" customHeight="1">
      <c r="A34" s="47" t="s">
        <v>220</v>
      </c>
      <c r="B34" s="48" t="s">
        <v>221</v>
      </c>
      <c r="C34" s="47" t="s">
        <v>222</v>
      </c>
      <c r="D34" s="48" t="s">
        <v>223</v>
      </c>
      <c r="E34" s="44" t="s">
        <v>224</v>
      </c>
      <c r="F34" s="50" t="s">
        <v>104</v>
      </c>
      <c r="G34" s="50" t="s">
        <v>104</v>
      </c>
      <c r="H34" s="47" t="s">
        <v>97</v>
      </c>
    </row>
    <row r="35" ht="22.5" customHeight="1">
      <c r="A35" s="47" t="s">
        <v>225</v>
      </c>
      <c r="B35" s="48" t="s">
        <v>226</v>
      </c>
      <c r="C35" s="47" t="s">
        <v>227</v>
      </c>
      <c r="D35" s="48" t="s">
        <v>228</v>
      </c>
      <c r="E35" s="44" t="s">
        <v>114</v>
      </c>
      <c r="F35" s="50" t="s">
        <v>104</v>
      </c>
      <c r="G35" s="50" t="s">
        <v>110</v>
      </c>
      <c r="H35" s="47" t="s">
        <v>115</v>
      </c>
    </row>
    <row r="36" ht="22.5" customHeight="1">
      <c r="A36" s="47" t="s">
        <v>229</v>
      </c>
      <c r="B36" s="48" t="s">
        <v>230</v>
      </c>
      <c r="C36" s="47" t="s">
        <v>227</v>
      </c>
      <c r="D36" s="48" t="s">
        <v>231</v>
      </c>
      <c r="E36" s="44" t="s">
        <v>232</v>
      </c>
      <c r="F36" s="50" t="s">
        <v>104</v>
      </c>
      <c r="G36" s="50" t="s">
        <v>110</v>
      </c>
      <c r="H36" s="47" t="s">
        <v>97</v>
      </c>
    </row>
    <row r="37" ht="22.5" customHeight="1">
      <c r="A37" s="47" t="s">
        <v>233</v>
      </c>
      <c r="B37" s="48" t="s">
        <v>234</v>
      </c>
      <c r="C37" s="47" t="s">
        <v>147</v>
      </c>
      <c r="D37" s="48" t="s">
        <v>235</v>
      </c>
      <c r="E37" s="49" t="s">
        <v>103</v>
      </c>
      <c r="F37" s="50" t="s">
        <v>110</v>
      </c>
      <c r="G37" s="50" t="s">
        <v>105</v>
      </c>
      <c r="H37" s="47" t="s">
        <v>118</v>
      </c>
    </row>
    <row r="38" ht="22.5" customHeight="1">
      <c r="A38" s="47" t="s">
        <v>236</v>
      </c>
      <c r="B38" s="48" t="s">
        <v>237</v>
      </c>
      <c r="C38" s="47" t="s">
        <v>238</v>
      </c>
      <c r="D38" s="48" t="s">
        <v>239</v>
      </c>
      <c r="E38" s="49" t="s">
        <v>133</v>
      </c>
      <c r="F38" s="50" t="s">
        <v>104</v>
      </c>
      <c r="G38" s="50" t="s">
        <v>105</v>
      </c>
      <c r="H38" s="47" t="s">
        <v>106</v>
      </c>
    </row>
    <row r="39" ht="22.5" customHeight="1">
      <c r="A39" s="47" t="s">
        <v>240</v>
      </c>
      <c r="B39" s="48" t="s">
        <v>241</v>
      </c>
      <c r="C39" s="47" t="s">
        <v>242</v>
      </c>
      <c r="D39" s="48" t="s">
        <v>243</v>
      </c>
      <c r="E39" s="49" t="s">
        <v>244</v>
      </c>
      <c r="F39" s="50" t="s">
        <v>104</v>
      </c>
      <c r="G39" s="50" t="s">
        <v>105</v>
      </c>
      <c r="H39" s="47" t="s">
        <v>106</v>
      </c>
    </row>
    <row r="40" ht="22.5" customHeight="1">
      <c r="A40" s="47" t="s">
        <v>245</v>
      </c>
      <c r="B40" s="48" t="s">
        <v>246</v>
      </c>
      <c r="C40" s="47" t="s">
        <v>242</v>
      </c>
      <c r="D40" s="48" t="s">
        <v>247</v>
      </c>
      <c r="E40" s="49" t="s">
        <v>166</v>
      </c>
      <c r="F40" s="50" t="s">
        <v>104</v>
      </c>
      <c r="G40" s="50" t="s">
        <v>104</v>
      </c>
      <c r="H40" s="47" t="s">
        <v>98</v>
      </c>
    </row>
    <row r="41" ht="22.5" customHeight="1">
      <c r="A41" s="47" t="s">
        <v>248</v>
      </c>
      <c r="B41" s="48" t="s">
        <v>249</v>
      </c>
      <c r="C41" s="47" t="s">
        <v>250</v>
      </c>
      <c r="D41" s="48" t="s">
        <v>251</v>
      </c>
      <c r="E41" s="49" t="s">
        <v>252</v>
      </c>
      <c r="F41" s="50" t="s">
        <v>104</v>
      </c>
      <c r="G41" s="50" t="s">
        <v>105</v>
      </c>
      <c r="H41" s="47" t="s">
        <v>106</v>
      </c>
    </row>
    <row r="42" ht="22.5" customHeight="1">
      <c r="A42" s="47" t="s">
        <v>253</v>
      </c>
      <c r="B42" s="48" t="s">
        <v>254</v>
      </c>
      <c r="C42" s="47" t="s">
        <v>255</v>
      </c>
      <c r="D42" s="53"/>
      <c r="E42" s="49" t="s">
        <v>103</v>
      </c>
      <c r="F42" s="50" t="s">
        <v>110</v>
      </c>
      <c r="G42" s="50" t="s">
        <v>105</v>
      </c>
      <c r="H42" s="47" t="s">
        <v>106</v>
      </c>
    </row>
    <row r="43">
      <c r="B43" s="54"/>
      <c r="D43" s="54"/>
      <c r="E43" s="55"/>
    </row>
    <row r="44">
      <c r="B44" s="54"/>
      <c r="D44" s="54"/>
      <c r="E44" s="55"/>
    </row>
    <row r="45">
      <c r="B45" s="54"/>
      <c r="D45" s="54"/>
      <c r="E45" s="55"/>
    </row>
    <row r="46">
      <c r="B46" s="54"/>
      <c r="D46" s="54"/>
      <c r="E46" s="55"/>
    </row>
    <row r="47">
      <c r="B47" s="54"/>
      <c r="D47" s="54"/>
      <c r="E47" s="55"/>
    </row>
    <row r="48">
      <c r="B48" s="54"/>
      <c r="D48" s="54"/>
      <c r="E48" s="55"/>
    </row>
    <row r="49">
      <c r="B49" s="54"/>
      <c r="D49" s="54"/>
      <c r="E49" s="55"/>
    </row>
    <row r="50">
      <c r="B50" s="54"/>
      <c r="D50" s="54"/>
      <c r="E50" s="55"/>
    </row>
    <row r="51">
      <c r="B51" s="54"/>
      <c r="D51" s="54"/>
      <c r="E51" s="55"/>
    </row>
    <row r="52">
      <c r="B52" s="54"/>
      <c r="D52" s="54"/>
      <c r="E52" s="55"/>
    </row>
    <row r="53">
      <c r="B53" s="54"/>
      <c r="D53" s="54"/>
      <c r="E53" s="55"/>
    </row>
    <row r="54">
      <c r="B54" s="54"/>
      <c r="D54" s="54"/>
      <c r="E54" s="55"/>
    </row>
    <row r="55">
      <c r="B55" s="54"/>
      <c r="D55" s="54"/>
      <c r="E55" s="55"/>
    </row>
    <row r="56">
      <c r="B56" s="54"/>
      <c r="D56" s="54"/>
      <c r="E56" s="55"/>
    </row>
    <row r="57">
      <c r="B57" s="54"/>
      <c r="D57" s="54"/>
      <c r="E57" s="55"/>
    </row>
    <row r="58">
      <c r="B58" s="54"/>
      <c r="D58" s="54"/>
      <c r="E58" s="55"/>
    </row>
    <row r="59">
      <c r="B59" s="54"/>
      <c r="D59" s="54"/>
      <c r="E59" s="55"/>
    </row>
    <row r="60">
      <c r="B60" s="54"/>
      <c r="D60" s="54"/>
      <c r="E60" s="55"/>
    </row>
    <row r="61">
      <c r="B61" s="54"/>
      <c r="D61" s="54"/>
      <c r="E61" s="55"/>
    </row>
    <row r="62">
      <c r="B62" s="54"/>
      <c r="D62" s="54"/>
      <c r="E62" s="55"/>
    </row>
    <row r="63">
      <c r="B63" s="54"/>
      <c r="D63" s="54"/>
      <c r="E63" s="55"/>
    </row>
    <row r="64">
      <c r="B64" s="54"/>
      <c r="D64" s="54"/>
      <c r="E64" s="55"/>
    </row>
    <row r="65">
      <c r="B65" s="54"/>
      <c r="D65" s="54"/>
      <c r="E65" s="55"/>
    </row>
    <row r="66">
      <c r="B66" s="54"/>
      <c r="D66" s="54"/>
      <c r="E66" s="55"/>
    </row>
    <row r="67">
      <c r="B67" s="54"/>
      <c r="D67" s="54"/>
      <c r="E67" s="55"/>
    </row>
    <row r="68">
      <c r="B68" s="54"/>
      <c r="D68" s="54"/>
      <c r="E68" s="55"/>
    </row>
    <row r="69">
      <c r="B69" s="54"/>
      <c r="D69" s="54"/>
      <c r="E69" s="55"/>
    </row>
    <row r="70">
      <c r="B70" s="54"/>
      <c r="D70" s="54"/>
      <c r="E70" s="55"/>
    </row>
    <row r="71">
      <c r="B71" s="54"/>
      <c r="D71" s="54"/>
      <c r="E71" s="55"/>
    </row>
    <row r="72">
      <c r="B72" s="54"/>
      <c r="D72" s="54"/>
      <c r="E72" s="55"/>
    </row>
    <row r="73">
      <c r="B73" s="54"/>
      <c r="D73" s="54"/>
      <c r="E73" s="55"/>
    </row>
    <row r="74">
      <c r="B74" s="54"/>
      <c r="D74" s="54"/>
      <c r="E74" s="55"/>
    </row>
    <row r="75">
      <c r="B75" s="54"/>
      <c r="D75" s="54"/>
      <c r="E75" s="55"/>
    </row>
    <row r="76">
      <c r="B76" s="54"/>
      <c r="D76" s="54"/>
      <c r="E76" s="55"/>
    </row>
    <row r="77">
      <c r="B77" s="54"/>
      <c r="D77" s="54"/>
      <c r="E77" s="55"/>
    </row>
    <row r="78">
      <c r="B78" s="54"/>
      <c r="D78" s="54"/>
      <c r="E78" s="55"/>
    </row>
    <row r="79">
      <c r="B79" s="54"/>
      <c r="D79" s="54"/>
      <c r="E79" s="55"/>
    </row>
    <row r="80">
      <c r="B80" s="54"/>
      <c r="D80" s="54"/>
      <c r="E80" s="55"/>
    </row>
    <row r="81">
      <c r="B81" s="54"/>
      <c r="D81" s="54"/>
      <c r="E81" s="55"/>
    </row>
    <row r="82">
      <c r="B82" s="54"/>
      <c r="D82" s="54"/>
      <c r="E82" s="55"/>
    </row>
    <row r="83">
      <c r="B83" s="54"/>
      <c r="D83" s="54"/>
      <c r="E83" s="55"/>
    </row>
    <row r="84">
      <c r="B84" s="54"/>
      <c r="D84" s="54"/>
      <c r="E84" s="55"/>
    </row>
    <row r="85">
      <c r="B85" s="54"/>
      <c r="D85" s="54"/>
      <c r="E85" s="55"/>
    </row>
    <row r="86">
      <c r="B86" s="54"/>
      <c r="D86" s="54"/>
      <c r="E86" s="55"/>
    </row>
    <row r="87">
      <c r="B87" s="54"/>
      <c r="D87" s="54"/>
      <c r="E87" s="55"/>
    </row>
    <row r="88">
      <c r="B88" s="54"/>
      <c r="D88" s="54"/>
      <c r="E88" s="55"/>
    </row>
    <row r="89">
      <c r="B89" s="54"/>
      <c r="D89" s="54"/>
      <c r="E89" s="55"/>
    </row>
    <row r="90">
      <c r="B90" s="54"/>
      <c r="D90" s="54"/>
      <c r="E90" s="55"/>
    </row>
    <row r="91">
      <c r="B91" s="54"/>
      <c r="D91" s="54"/>
      <c r="E91" s="55"/>
    </row>
    <row r="92">
      <c r="B92" s="54"/>
      <c r="D92" s="54"/>
      <c r="E92" s="55"/>
    </row>
    <row r="93">
      <c r="B93" s="54"/>
      <c r="D93" s="54"/>
      <c r="E93" s="55"/>
    </row>
    <row r="94">
      <c r="B94" s="54"/>
      <c r="D94" s="54"/>
      <c r="E94" s="55"/>
    </row>
    <row r="95">
      <c r="B95" s="54"/>
      <c r="D95" s="54"/>
      <c r="E95" s="55"/>
    </row>
    <row r="96">
      <c r="B96" s="54"/>
      <c r="D96" s="54"/>
      <c r="E96" s="55"/>
    </row>
    <row r="97">
      <c r="B97" s="54"/>
      <c r="D97" s="54"/>
      <c r="E97" s="55"/>
    </row>
    <row r="98">
      <c r="B98" s="54"/>
      <c r="D98" s="54"/>
      <c r="E98" s="55"/>
    </row>
    <row r="99">
      <c r="B99" s="54"/>
      <c r="D99" s="54"/>
      <c r="E99" s="55"/>
    </row>
    <row r="100">
      <c r="B100" s="54"/>
      <c r="D100" s="54"/>
      <c r="E100" s="55"/>
    </row>
    <row r="101">
      <c r="B101" s="54"/>
      <c r="D101" s="54"/>
      <c r="E101" s="55"/>
    </row>
    <row r="102">
      <c r="B102" s="54"/>
      <c r="D102" s="54"/>
      <c r="E102" s="55"/>
    </row>
    <row r="103">
      <c r="B103" s="54"/>
      <c r="D103" s="54"/>
      <c r="E103" s="55"/>
    </row>
    <row r="104">
      <c r="B104" s="54"/>
      <c r="D104" s="54"/>
      <c r="E104" s="55"/>
    </row>
    <row r="105">
      <c r="B105" s="54"/>
      <c r="D105" s="54"/>
      <c r="E105" s="55"/>
    </row>
    <row r="106">
      <c r="B106" s="54"/>
      <c r="D106" s="54"/>
      <c r="E106" s="55"/>
    </row>
    <row r="107">
      <c r="B107" s="54"/>
      <c r="D107" s="54"/>
      <c r="E107" s="55"/>
    </row>
    <row r="108">
      <c r="B108" s="54"/>
      <c r="D108" s="54"/>
      <c r="E108" s="55"/>
    </row>
    <row r="109">
      <c r="B109" s="54"/>
      <c r="D109" s="54"/>
      <c r="E109" s="55"/>
    </row>
    <row r="110">
      <c r="B110" s="54"/>
      <c r="D110" s="54"/>
      <c r="E110" s="55"/>
    </row>
    <row r="111">
      <c r="B111" s="54"/>
      <c r="D111" s="54"/>
      <c r="E111" s="55"/>
    </row>
    <row r="112">
      <c r="B112" s="54"/>
      <c r="D112" s="54"/>
      <c r="E112" s="55"/>
    </row>
    <row r="113">
      <c r="B113" s="54"/>
      <c r="D113" s="54"/>
      <c r="E113" s="55"/>
    </row>
    <row r="114">
      <c r="B114" s="54"/>
      <c r="D114" s="54"/>
      <c r="E114" s="55"/>
    </row>
    <row r="115">
      <c r="B115" s="54"/>
      <c r="D115" s="54"/>
      <c r="E115" s="55"/>
    </row>
    <row r="116">
      <c r="B116" s="54"/>
      <c r="D116" s="54"/>
      <c r="E116" s="55"/>
    </row>
    <row r="117">
      <c r="B117" s="54"/>
      <c r="D117" s="54"/>
      <c r="E117" s="55"/>
    </row>
    <row r="118">
      <c r="B118" s="54"/>
      <c r="D118" s="54"/>
      <c r="E118" s="55"/>
    </row>
    <row r="119">
      <c r="B119" s="54"/>
      <c r="D119" s="54"/>
      <c r="E119" s="55"/>
    </row>
    <row r="120">
      <c r="B120" s="54"/>
      <c r="D120" s="54"/>
      <c r="E120" s="55"/>
    </row>
    <row r="121">
      <c r="B121" s="54"/>
      <c r="D121" s="54"/>
      <c r="E121" s="55"/>
    </row>
    <row r="122">
      <c r="B122" s="54"/>
      <c r="D122" s="54"/>
      <c r="E122" s="55"/>
    </row>
    <row r="123">
      <c r="B123" s="54"/>
      <c r="D123" s="54"/>
      <c r="E123" s="55"/>
    </row>
    <row r="124">
      <c r="B124" s="54"/>
      <c r="D124" s="54"/>
      <c r="E124" s="55"/>
    </row>
    <row r="125">
      <c r="B125" s="54"/>
      <c r="D125" s="54"/>
      <c r="E125" s="55"/>
    </row>
    <row r="126">
      <c r="B126" s="54"/>
      <c r="D126" s="54"/>
      <c r="E126" s="55"/>
    </row>
    <row r="127">
      <c r="B127" s="54"/>
      <c r="D127" s="54"/>
      <c r="E127" s="55"/>
    </row>
    <row r="128">
      <c r="B128" s="54"/>
      <c r="D128" s="54"/>
      <c r="E128" s="55"/>
    </row>
    <row r="129">
      <c r="B129" s="54"/>
      <c r="D129" s="54"/>
      <c r="E129" s="55"/>
    </row>
    <row r="130">
      <c r="B130" s="54"/>
      <c r="D130" s="54"/>
      <c r="E130" s="55"/>
    </row>
    <row r="131">
      <c r="B131" s="54"/>
      <c r="D131" s="54"/>
      <c r="E131" s="55"/>
    </row>
    <row r="132">
      <c r="B132" s="54"/>
      <c r="D132" s="54"/>
      <c r="E132" s="55"/>
    </row>
    <row r="133">
      <c r="B133" s="54"/>
      <c r="D133" s="54"/>
      <c r="E133" s="55"/>
    </row>
    <row r="134">
      <c r="B134" s="54"/>
      <c r="D134" s="54"/>
      <c r="E134" s="55"/>
    </row>
    <row r="135">
      <c r="B135" s="54"/>
      <c r="D135" s="54"/>
      <c r="E135" s="55"/>
    </row>
    <row r="136">
      <c r="B136" s="54"/>
      <c r="D136" s="54"/>
      <c r="E136" s="55"/>
    </row>
    <row r="137">
      <c r="B137" s="54"/>
      <c r="D137" s="54"/>
      <c r="E137" s="55"/>
    </row>
    <row r="138">
      <c r="B138" s="54"/>
      <c r="D138" s="54"/>
      <c r="E138" s="55"/>
    </row>
    <row r="139">
      <c r="B139" s="54"/>
      <c r="D139" s="54"/>
      <c r="E139" s="55"/>
    </row>
    <row r="140">
      <c r="B140" s="54"/>
      <c r="D140" s="54"/>
      <c r="E140" s="55"/>
    </row>
    <row r="141">
      <c r="B141" s="54"/>
      <c r="D141" s="54"/>
      <c r="E141" s="55"/>
    </row>
    <row r="142">
      <c r="B142" s="54"/>
      <c r="D142" s="54"/>
      <c r="E142" s="55"/>
    </row>
    <row r="143">
      <c r="B143" s="54"/>
      <c r="D143" s="54"/>
      <c r="E143" s="55"/>
    </row>
    <row r="144">
      <c r="B144" s="54"/>
      <c r="D144" s="54"/>
      <c r="E144" s="55"/>
    </row>
    <row r="145">
      <c r="B145" s="54"/>
      <c r="D145" s="54"/>
      <c r="E145" s="55"/>
    </row>
    <row r="146">
      <c r="B146" s="54"/>
      <c r="D146" s="54"/>
      <c r="E146" s="55"/>
    </row>
    <row r="147">
      <c r="B147" s="54"/>
      <c r="D147" s="54"/>
      <c r="E147" s="55"/>
    </row>
    <row r="148">
      <c r="B148" s="54"/>
      <c r="D148" s="54"/>
      <c r="E148" s="55"/>
    </row>
    <row r="149">
      <c r="B149" s="54"/>
      <c r="D149" s="54"/>
      <c r="E149" s="55"/>
    </row>
    <row r="150">
      <c r="B150" s="54"/>
      <c r="D150" s="54"/>
      <c r="E150" s="55"/>
    </row>
    <row r="151">
      <c r="B151" s="54"/>
      <c r="D151" s="54"/>
      <c r="E151" s="55"/>
    </row>
    <row r="152">
      <c r="B152" s="54"/>
      <c r="D152" s="54"/>
      <c r="E152" s="55"/>
    </row>
    <row r="153">
      <c r="B153" s="54"/>
      <c r="D153" s="54"/>
      <c r="E153" s="55"/>
    </row>
    <row r="154">
      <c r="B154" s="54"/>
      <c r="D154" s="54"/>
      <c r="E154" s="55"/>
    </row>
    <row r="155">
      <c r="B155" s="54"/>
      <c r="D155" s="54"/>
      <c r="E155" s="55"/>
    </row>
    <row r="156">
      <c r="B156" s="54"/>
      <c r="D156" s="54"/>
      <c r="E156" s="55"/>
    </row>
    <row r="157">
      <c r="B157" s="54"/>
      <c r="D157" s="54"/>
      <c r="E157" s="55"/>
    </row>
    <row r="158">
      <c r="B158" s="54"/>
      <c r="D158" s="54"/>
      <c r="E158" s="55"/>
    </row>
    <row r="159">
      <c r="B159" s="54"/>
      <c r="D159" s="54"/>
      <c r="E159" s="55"/>
    </row>
    <row r="160">
      <c r="B160" s="54"/>
      <c r="D160" s="54"/>
      <c r="E160" s="55"/>
    </row>
    <row r="161">
      <c r="B161" s="54"/>
      <c r="D161" s="54"/>
      <c r="E161" s="55"/>
    </row>
    <row r="162">
      <c r="B162" s="54"/>
      <c r="D162" s="54"/>
      <c r="E162" s="55"/>
    </row>
    <row r="163">
      <c r="B163" s="54"/>
      <c r="D163" s="54"/>
      <c r="E163" s="55"/>
    </row>
    <row r="164">
      <c r="B164" s="54"/>
      <c r="D164" s="54"/>
      <c r="E164" s="55"/>
    </row>
    <row r="165">
      <c r="B165" s="54"/>
      <c r="D165" s="54"/>
      <c r="E165" s="55"/>
    </row>
    <row r="166">
      <c r="B166" s="54"/>
      <c r="D166" s="54"/>
      <c r="E166" s="55"/>
    </row>
    <row r="167">
      <c r="B167" s="54"/>
      <c r="D167" s="54"/>
      <c r="E167" s="55"/>
    </row>
    <row r="168">
      <c r="B168" s="54"/>
      <c r="D168" s="54"/>
      <c r="E168" s="55"/>
    </row>
    <row r="169">
      <c r="B169" s="54"/>
      <c r="D169" s="54"/>
      <c r="E169" s="55"/>
    </row>
    <row r="170">
      <c r="B170" s="54"/>
      <c r="D170" s="54"/>
      <c r="E170" s="55"/>
    </row>
    <row r="171">
      <c r="B171" s="54"/>
      <c r="D171" s="54"/>
      <c r="E171" s="55"/>
    </row>
    <row r="172">
      <c r="B172" s="54"/>
      <c r="D172" s="54"/>
      <c r="E172" s="55"/>
    </row>
    <row r="173">
      <c r="B173" s="54"/>
      <c r="D173" s="54"/>
      <c r="E173" s="55"/>
    </row>
    <row r="174">
      <c r="B174" s="54"/>
      <c r="D174" s="54"/>
      <c r="E174" s="55"/>
    </row>
    <row r="175">
      <c r="B175" s="54"/>
      <c r="D175" s="54"/>
      <c r="E175" s="55"/>
    </row>
    <row r="176">
      <c r="B176" s="54"/>
      <c r="D176" s="54"/>
      <c r="E176" s="55"/>
    </row>
    <row r="177">
      <c r="B177" s="54"/>
      <c r="D177" s="54"/>
      <c r="E177" s="55"/>
    </row>
    <row r="178">
      <c r="B178" s="54"/>
      <c r="D178" s="54"/>
      <c r="E178" s="55"/>
    </row>
    <row r="179">
      <c r="B179" s="54"/>
      <c r="D179" s="54"/>
      <c r="E179" s="55"/>
    </row>
    <row r="180">
      <c r="B180" s="54"/>
      <c r="D180" s="54"/>
      <c r="E180" s="55"/>
    </row>
    <row r="181">
      <c r="B181" s="54"/>
      <c r="D181" s="54"/>
      <c r="E181" s="55"/>
    </row>
    <row r="182">
      <c r="B182" s="54"/>
      <c r="D182" s="54"/>
      <c r="E182" s="55"/>
    </row>
    <row r="183">
      <c r="B183" s="54"/>
      <c r="D183" s="54"/>
      <c r="E183" s="55"/>
    </row>
    <row r="184">
      <c r="B184" s="54"/>
      <c r="D184" s="54"/>
      <c r="E184" s="55"/>
    </row>
    <row r="185">
      <c r="B185" s="54"/>
      <c r="D185" s="54"/>
      <c r="E185" s="55"/>
    </row>
    <row r="186">
      <c r="B186" s="54"/>
      <c r="D186" s="54"/>
      <c r="E186" s="55"/>
    </row>
    <row r="187">
      <c r="B187" s="54"/>
      <c r="D187" s="54"/>
      <c r="E187" s="55"/>
    </row>
    <row r="188">
      <c r="B188" s="54"/>
      <c r="D188" s="54"/>
      <c r="E188" s="55"/>
    </row>
    <row r="189">
      <c r="B189" s="54"/>
      <c r="D189" s="54"/>
      <c r="E189" s="55"/>
    </row>
    <row r="190">
      <c r="B190" s="54"/>
      <c r="D190" s="54"/>
      <c r="E190" s="55"/>
    </row>
    <row r="191">
      <c r="B191" s="54"/>
      <c r="D191" s="54"/>
      <c r="E191" s="55"/>
    </row>
    <row r="192">
      <c r="B192" s="54"/>
      <c r="D192" s="54"/>
      <c r="E192" s="55"/>
    </row>
    <row r="193">
      <c r="B193" s="54"/>
      <c r="D193" s="54"/>
      <c r="E193" s="55"/>
    </row>
    <row r="194">
      <c r="B194" s="54"/>
      <c r="D194" s="54"/>
      <c r="E194" s="55"/>
    </row>
    <row r="195">
      <c r="B195" s="54"/>
      <c r="D195" s="54"/>
      <c r="E195" s="55"/>
    </row>
    <row r="196">
      <c r="B196" s="54"/>
      <c r="D196" s="54"/>
      <c r="E196" s="55"/>
    </row>
    <row r="197">
      <c r="B197" s="54"/>
      <c r="D197" s="54"/>
      <c r="E197" s="55"/>
    </row>
    <row r="198">
      <c r="B198" s="54"/>
      <c r="D198" s="54"/>
      <c r="E198" s="55"/>
    </row>
    <row r="199">
      <c r="B199" s="54"/>
      <c r="D199" s="54"/>
      <c r="E199" s="55"/>
    </row>
    <row r="200">
      <c r="B200" s="54"/>
      <c r="D200" s="54"/>
      <c r="E200" s="55"/>
    </row>
    <row r="201">
      <c r="B201" s="54"/>
      <c r="D201" s="54"/>
      <c r="E201" s="55"/>
    </row>
    <row r="202">
      <c r="B202" s="54"/>
      <c r="D202" s="54"/>
      <c r="E202" s="55"/>
    </row>
    <row r="203">
      <c r="B203" s="54"/>
      <c r="D203" s="54"/>
      <c r="E203" s="55"/>
    </row>
    <row r="204">
      <c r="B204" s="54"/>
      <c r="D204" s="54"/>
      <c r="E204" s="55"/>
    </row>
    <row r="205">
      <c r="B205" s="54"/>
      <c r="D205" s="54"/>
      <c r="E205" s="55"/>
    </row>
    <row r="206">
      <c r="B206" s="54"/>
      <c r="D206" s="54"/>
      <c r="E206" s="55"/>
    </row>
    <row r="207">
      <c r="B207" s="54"/>
      <c r="D207" s="54"/>
      <c r="E207" s="55"/>
    </row>
    <row r="208">
      <c r="B208" s="54"/>
      <c r="D208" s="54"/>
      <c r="E208" s="55"/>
    </row>
    <row r="209">
      <c r="B209" s="54"/>
      <c r="D209" s="54"/>
      <c r="E209" s="55"/>
    </row>
    <row r="210">
      <c r="B210" s="54"/>
      <c r="D210" s="54"/>
      <c r="E210" s="55"/>
    </row>
    <row r="211">
      <c r="B211" s="54"/>
      <c r="D211" s="54"/>
      <c r="E211" s="55"/>
    </row>
    <row r="212">
      <c r="B212" s="54"/>
      <c r="D212" s="54"/>
      <c r="E212" s="55"/>
    </row>
    <row r="213">
      <c r="B213" s="54"/>
      <c r="D213" s="54"/>
      <c r="E213" s="55"/>
    </row>
    <row r="214">
      <c r="B214" s="54"/>
      <c r="D214" s="54"/>
      <c r="E214" s="55"/>
    </row>
    <row r="215">
      <c r="B215" s="54"/>
      <c r="D215" s="54"/>
      <c r="E215" s="55"/>
    </row>
    <row r="216">
      <c r="B216" s="54"/>
      <c r="D216" s="54"/>
      <c r="E216" s="55"/>
    </row>
    <row r="217">
      <c r="B217" s="54"/>
      <c r="D217" s="54"/>
      <c r="E217" s="55"/>
    </row>
    <row r="218">
      <c r="B218" s="54"/>
      <c r="D218" s="54"/>
      <c r="E218" s="55"/>
    </row>
    <row r="219">
      <c r="B219" s="54"/>
      <c r="D219" s="54"/>
      <c r="E219" s="55"/>
    </row>
    <row r="220">
      <c r="B220" s="54"/>
      <c r="D220" s="54"/>
      <c r="E220" s="55"/>
    </row>
    <row r="221">
      <c r="B221" s="54"/>
      <c r="D221" s="54"/>
      <c r="E221" s="55"/>
    </row>
    <row r="222">
      <c r="B222" s="54"/>
      <c r="D222" s="54"/>
      <c r="E222" s="55"/>
    </row>
    <row r="223">
      <c r="B223" s="54"/>
      <c r="D223" s="54"/>
      <c r="E223" s="55"/>
    </row>
    <row r="224">
      <c r="B224" s="54"/>
      <c r="D224" s="54"/>
      <c r="E224" s="55"/>
    </row>
    <row r="225">
      <c r="B225" s="54"/>
      <c r="D225" s="54"/>
      <c r="E225" s="55"/>
    </row>
    <row r="226">
      <c r="B226" s="54"/>
      <c r="D226" s="54"/>
      <c r="E226" s="55"/>
    </row>
    <row r="227">
      <c r="B227" s="54"/>
      <c r="D227" s="54"/>
      <c r="E227" s="55"/>
    </row>
    <row r="228">
      <c r="B228" s="54"/>
      <c r="D228" s="54"/>
      <c r="E228" s="55"/>
    </row>
    <row r="229">
      <c r="B229" s="54"/>
      <c r="D229" s="54"/>
      <c r="E229" s="55"/>
    </row>
    <row r="230">
      <c r="B230" s="54"/>
      <c r="D230" s="54"/>
      <c r="E230" s="55"/>
    </row>
    <row r="231">
      <c r="B231" s="54"/>
      <c r="D231" s="54"/>
      <c r="E231" s="55"/>
    </row>
    <row r="232">
      <c r="B232" s="54"/>
      <c r="D232" s="54"/>
      <c r="E232" s="55"/>
    </row>
    <row r="233">
      <c r="B233" s="54"/>
      <c r="D233" s="54"/>
      <c r="E233" s="55"/>
    </row>
    <row r="234">
      <c r="B234" s="54"/>
      <c r="D234" s="54"/>
      <c r="E234" s="55"/>
    </row>
    <row r="235">
      <c r="B235" s="54"/>
      <c r="D235" s="54"/>
      <c r="E235" s="55"/>
    </row>
    <row r="236">
      <c r="B236" s="54"/>
      <c r="D236" s="54"/>
      <c r="E236" s="55"/>
    </row>
    <row r="237">
      <c r="B237" s="54"/>
      <c r="D237" s="54"/>
      <c r="E237" s="55"/>
    </row>
    <row r="238">
      <c r="B238" s="54"/>
      <c r="D238" s="54"/>
      <c r="E238" s="55"/>
    </row>
    <row r="239">
      <c r="B239" s="54"/>
      <c r="D239" s="54"/>
      <c r="E239" s="55"/>
    </row>
    <row r="240">
      <c r="B240" s="54"/>
      <c r="D240" s="54"/>
      <c r="E240" s="55"/>
    </row>
    <row r="241">
      <c r="B241" s="54"/>
      <c r="D241" s="54"/>
      <c r="E241" s="55"/>
    </row>
    <row r="242">
      <c r="B242" s="54"/>
      <c r="D242" s="54"/>
      <c r="E242" s="55"/>
    </row>
    <row r="243">
      <c r="B243" s="54"/>
      <c r="D243" s="54"/>
      <c r="E243" s="55"/>
    </row>
    <row r="244">
      <c r="B244" s="54"/>
      <c r="D244" s="54"/>
      <c r="E244" s="55"/>
    </row>
    <row r="245">
      <c r="B245" s="54"/>
      <c r="D245" s="54"/>
      <c r="E245" s="55"/>
    </row>
    <row r="246">
      <c r="B246" s="54"/>
      <c r="D246" s="54"/>
      <c r="E246" s="55"/>
    </row>
    <row r="247">
      <c r="B247" s="54"/>
      <c r="D247" s="54"/>
      <c r="E247" s="55"/>
    </row>
    <row r="248">
      <c r="B248" s="54"/>
      <c r="D248" s="54"/>
      <c r="E248" s="55"/>
    </row>
    <row r="249">
      <c r="B249" s="54"/>
      <c r="D249" s="54"/>
      <c r="E249" s="55"/>
    </row>
    <row r="250">
      <c r="B250" s="54"/>
      <c r="D250" s="54"/>
      <c r="E250" s="55"/>
    </row>
    <row r="251">
      <c r="B251" s="54"/>
      <c r="D251" s="54"/>
      <c r="E251" s="55"/>
    </row>
    <row r="252">
      <c r="B252" s="54"/>
      <c r="D252" s="54"/>
      <c r="E252" s="55"/>
    </row>
    <row r="253">
      <c r="B253" s="54"/>
      <c r="D253" s="54"/>
      <c r="E253" s="55"/>
    </row>
    <row r="254">
      <c r="B254" s="54"/>
      <c r="D254" s="54"/>
      <c r="E254" s="55"/>
    </row>
    <row r="255">
      <c r="B255" s="54"/>
      <c r="D255" s="54"/>
      <c r="E255" s="55"/>
    </row>
    <row r="256">
      <c r="B256" s="54"/>
      <c r="D256" s="54"/>
      <c r="E256" s="55"/>
    </row>
    <row r="257">
      <c r="B257" s="54"/>
      <c r="D257" s="54"/>
      <c r="E257" s="55"/>
    </row>
    <row r="258">
      <c r="B258" s="54"/>
      <c r="D258" s="54"/>
      <c r="E258" s="55"/>
    </row>
    <row r="259">
      <c r="B259" s="54"/>
      <c r="D259" s="54"/>
      <c r="E259" s="55"/>
    </row>
    <row r="260">
      <c r="B260" s="54"/>
      <c r="D260" s="54"/>
      <c r="E260" s="55"/>
    </row>
    <row r="261">
      <c r="B261" s="54"/>
      <c r="D261" s="54"/>
      <c r="E261" s="55"/>
    </row>
    <row r="262">
      <c r="B262" s="54"/>
      <c r="D262" s="54"/>
      <c r="E262" s="55"/>
    </row>
    <row r="263">
      <c r="B263" s="54"/>
      <c r="D263" s="54"/>
      <c r="E263" s="55"/>
    </row>
    <row r="264">
      <c r="B264" s="54"/>
      <c r="D264" s="54"/>
      <c r="E264" s="55"/>
    </row>
    <row r="265">
      <c r="B265" s="54"/>
      <c r="D265" s="54"/>
      <c r="E265" s="55"/>
    </row>
    <row r="266">
      <c r="B266" s="54"/>
      <c r="D266" s="54"/>
      <c r="E266" s="55"/>
    </row>
    <row r="267">
      <c r="B267" s="54"/>
      <c r="D267" s="54"/>
      <c r="E267" s="55"/>
    </row>
    <row r="268">
      <c r="B268" s="54"/>
      <c r="D268" s="54"/>
      <c r="E268" s="55"/>
    </row>
    <row r="269">
      <c r="B269" s="54"/>
      <c r="D269" s="54"/>
      <c r="E269" s="55"/>
    </row>
    <row r="270">
      <c r="B270" s="54"/>
      <c r="D270" s="54"/>
      <c r="E270" s="55"/>
    </row>
    <row r="271">
      <c r="B271" s="54"/>
      <c r="D271" s="54"/>
      <c r="E271" s="55"/>
    </row>
    <row r="272">
      <c r="B272" s="54"/>
      <c r="D272" s="54"/>
      <c r="E272" s="55"/>
    </row>
    <row r="273">
      <c r="B273" s="54"/>
      <c r="D273" s="54"/>
      <c r="E273" s="55"/>
    </row>
    <row r="274">
      <c r="B274" s="54"/>
      <c r="D274" s="54"/>
      <c r="E274" s="55"/>
    </row>
    <row r="275">
      <c r="B275" s="54"/>
      <c r="D275" s="54"/>
      <c r="E275" s="55"/>
    </row>
    <row r="276">
      <c r="B276" s="54"/>
      <c r="D276" s="54"/>
      <c r="E276" s="55"/>
    </row>
    <row r="277">
      <c r="B277" s="54"/>
      <c r="D277" s="54"/>
      <c r="E277" s="55"/>
    </row>
    <row r="278">
      <c r="B278" s="54"/>
      <c r="D278" s="54"/>
      <c r="E278" s="55"/>
    </row>
    <row r="279">
      <c r="B279" s="54"/>
      <c r="D279" s="54"/>
      <c r="E279" s="55"/>
    </row>
    <row r="280">
      <c r="B280" s="54"/>
      <c r="D280" s="54"/>
      <c r="E280" s="55"/>
    </row>
    <row r="281">
      <c r="B281" s="54"/>
      <c r="D281" s="54"/>
      <c r="E281" s="55"/>
    </row>
    <row r="282">
      <c r="B282" s="54"/>
      <c r="D282" s="54"/>
      <c r="E282" s="55"/>
    </row>
    <row r="283">
      <c r="B283" s="54"/>
      <c r="D283" s="54"/>
      <c r="E283" s="55"/>
    </row>
    <row r="284">
      <c r="B284" s="54"/>
      <c r="D284" s="54"/>
      <c r="E284" s="55"/>
    </row>
    <row r="285">
      <c r="B285" s="54"/>
      <c r="D285" s="54"/>
      <c r="E285" s="55"/>
    </row>
    <row r="286">
      <c r="B286" s="54"/>
      <c r="D286" s="54"/>
      <c r="E286" s="55"/>
    </row>
    <row r="287">
      <c r="B287" s="54"/>
      <c r="D287" s="54"/>
      <c r="E287" s="55"/>
    </row>
    <row r="288">
      <c r="B288" s="54"/>
      <c r="D288" s="54"/>
      <c r="E288" s="55"/>
    </row>
    <row r="289">
      <c r="B289" s="54"/>
      <c r="D289" s="54"/>
      <c r="E289" s="55"/>
    </row>
    <row r="290">
      <c r="B290" s="54"/>
      <c r="D290" s="54"/>
      <c r="E290" s="55"/>
    </row>
    <row r="291">
      <c r="B291" s="54"/>
      <c r="D291" s="54"/>
      <c r="E291" s="55"/>
    </row>
    <row r="292">
      <c r="B292" s="54"/>
      <c r="D292" s="54"/>
      <c r="E292" s="55"/>
    </row>
    <row r="293">
      <c r="B293" s="54"/>
      <c r="D293" s="54"/>
      <c r="E293" s="55"/>
    </row>
    <row r="294">
      <c r="B294" s="54"/>
      <c r="D294" s="54"/>
      <c r="E294" s="55"/>
    </row>
    <row r="295">
      <c r="B295" s="54"/>
      <c r="D295" s="54"/>
      <c r="E295" s="55"/>
    </row>
    <row r="296">
      <c r="B296" s="54"/>
      <c r="D296" s="54"/>
      <c r="E296" s="55"/>
    </row>
    <row r="297">
      <c r="B297" s="54"/>
      <c r="D297" s="54"/>
      <c r="E297" s="55"/>
    </row>
    <row r="298">
      <c r="B298" s="54"/>
      <c r="D298" s="54"/>
      <c r="E298" s="55"/>
    </row>
    <row r="299">
      <c r="B299" s="54"/>
      <c r="D299" s="54"/>
      <c r="E299" s="55"/>
    </row>
    <row r="300">
      <c r="B300" s="54"/>
      <c r="D300" s="54"/>
      <c r="E300" s="55"/>
    </row>
    <row r="301">
      <c r="B301" s="54"/>
      <c r="D301" s="54"/>
      <c r="E301" s="55"/>
    </row>
    <row r="302">
      <c r="B302" s="54"/>
      <c r="D302" s="54"/>
      <c r="E302" s="55"/>
    </row>
    <row r="303">
      <c r="B303" s="54"/>
      <c r="D303" s="54"/>
      <c r="E303" s="55"/>
    </row>
    <row r="304">
      <c r="B304" s="54"/>
      <c r="D304" s="54"/>
      <c r="E304" s="55"/>
    </row>
    <row r="305">
      <c r="B305" s="54"/>
      <c r="D305" s="54"/>
      <c r="E305" s="55"/>
    </row>
    <row r="306">
      <c r="B306" s="54"/>
      <c r="D306" s="54"/>
      <c r="E306" s="55"/>
    </row>
    <row r="307">
      <c r="B307" s="54"/>
      <c r="D307" s="54"/>
      <c r="E307" s="55"/>
    </row>
    <row r="308">
      <c r="B308" s="54"/>
      <c r="D308" s="54"/>
      <c r="E308" s="55"/>
    </row>
    <row r="309">
      <c r="B309" s="54"/>
      <c r="D309" s="54"/>
      <c r="E309" s="55"/>
    </row>
    <row r="310">
      <c r="B310" s="54"/>
      <c r="D310" s="54"/>
      <c r="E310" s="55"/>
    </row>
    <row r="311">
      <c r="B311" s="54"/>
      <c r="D311" s="54"/>
      <c r="E311" s="55"/>
    </row>
    <row r="312">
      <c r="B312" s="54"/>
      <c r="D312" s="54"/>
      <c r="E312" s="55"/>
    </row>
    <row r="313">
      <c r="B313" s="54"/>
      <c r="D313" s="54"/>
      <c r="E313" s="55"/>
    </row>
    <row r="314">
      <c r="B314" s="54"/>
      <c r="D314" s="54"/>
      <c r="E314" s="55"/>
    </row>
    <row r="315">
      <c r="B315" s="54"/>
      <c r="D315" s="54"/>
      <c r="E315" s="55"/>
    </row>
    <row r="316">
      <c r="B316" s="54"/>
      <c r="D316" s="54"/>
      <c r="E316" s="55"/>
    </row>
    <row r="317">
      <c r="B317" s="54"/>
      <c r="D317" s="54"/>
      <c r="E317" s="55"/>
    </row>
    <row r="318">
      <c r="B318" s="54"/>
      <c r="D318" s="54"/>
      <c r="E318" s="55"/>
    </row>
    <row r="319">
      <c r="B319" s="54"/>
      <c r="D319" s="54"/>
      <c r="E319" s="55"/>
    </row>
    <row r="320">
      <c r="B320" s="54"/>
      <c r="D320" s="54"/>
      <c r="E320" s="55"/>
    </row>
    <row r="321">
      <c r="B321" s="54"/>
      <c r="D321" s="54"/>
      <c r="E321" s="55"/>
    </row>
    <row r="322">
      <c r="B322" s="54"/>
      <c r="D322" s="54"/>
      <c r="E322" s="55"/>
    </row>
    <row r="323">
      <c r="B323" s="54"/>
      <c r="D323" s="54"/>
      <c r="E323" s="55"/>
    </row>
    <row r="324">
      <c r="B324" s="54"/>
      <c r="D324" s="54"/>
      <c r="E324" s="55"/>
    </row>
    <row r="325">
      <c r="B325" s="54"/>
      <c r="D325" s="54"/>
      <c r="E325" s="55"/>
    </row>
    <row r="326">
      <c r="B326" s="54"/>
      <c r="D326" s="54"/>
      <c r="E326" s="55"/>
    </row>
    <row r="327">
      <c r="B327" s="54"/>
      <c r="D327" s="54"/>
      <c r="E327" s="55"/>
    </row>
    <row r="328">
      <c r="B328" s="54"/>
      <c r="D328" s="54"/>
      <c r="E328" s="55"/>
    </row>
    <row r="329">
      <c r="B329" s="54"/>
      <c r="D329" s="54"/>
      <c r="E329" s="55"/>
    </row>
    <row r="330">
      <c r="B330" s="54"/>
      <c r="D330" s="54"/>
      <c r="E330" s="55"/>
    </row>
    <row r="331">
      <c r="B331" s="54"/>
      <c r="D331" s="54"/>
      <c r="E331" s="55"/>
    </row>
    <row r="332">
      <c r="B332" s="54"/>
      <c r="D332" s="54"/>
      <c r="E332" s="55"/>
    </row>
    <row r="333">
      <c r="B333" s="54"/>
      <c r="D333" s="54"/>
      <c r="E333" s="55"/>
    </row>
    <row r="334">
      <c r="B334" s="54"/>
      <c r="D334" s="54"/>
      <c r="E334" s="55"/>
    </row>
    <row r="335">
      <c r="B335" s="54"/>
      <c r="D335" s="54"/>
      <c r="E335" s="55"/>
    </row>
    <row r="336">
      <c r="B336" s="54"/>
      <c r="D336" s="54"/>
      <c r="E336" s="55"/>
    </row>
    <row r="337">
      <c r="B337" s="54"/>
      <c r="D337" s="54"/>
      <c r="E337" s="55"/>
    </row>
    <row r="338">
      <c r="B338" s="54"/>
      <c r="D338" s="54"/>
      <c r="E338" s="55"/>
    </row>
    <row r="339">
      <c r="B339" s="54"/>
      <c r="D339" s="54"/>
      <c r="E339" s="55"/>
    </row>
    <row r="340">
      <c r="B340" s="54"/>
      <c r="D340" s="54"/>
      <c r="E340" s="55"/>
    </row>
    <row r="341">
      <c r="B341" s="54"/>
      <c r="D341" s="54"/>
      <c r="E341" s="55"/>
    </row>
    <row r="342">
      <c r="B342" s="54"/>
      <c r="D342" s="54"/>
      <c r="E342" s="55"/>
    </row>
    <row r="343">
      <c r="B343" s="54"/>
      <c r="D343" s="54"/>
      <c r="E343" s="55"/>
    </row>
    <row r="344">
      <c r="B344" s="54"/>
      <c r="D344" s="54"/>
      <c r="E344" s="55"/>
    </row>
    <row r="345">
      <c r="B345" s="54"/>
      <c r="D345" s="54"/>
      <c r="E345" s="55"/>
    </row>
    <row r="346">
      <c r="B346" s="54"/>
      <c r="D346" s="54"/>
      <c r="E346" s="55"/>
    </row>
    <row r="347">
      <c r="B347" s="54"/>
      <c r="D347" s="54"/>
      <c r="E347" s="55"/>
    </row>
    <row r="348">
      <c r="B348" s="54"/>
      <c r="D348" s="54"/>
      <c r="E348" s="55"/>
    </row>
    <row r="349">
      <c r="B349" s="54"/>
      <c r="D349" s="54"/>
      <c r="E349" s="55"/>
    </row>
    <row r="350">
      <c r="B350" s="54"/>
      <c r="D350" s="54"/>
      <c r="E350" s="55"/>
    </row>
    <row r="351">
      <c r="B351" s="54"/>
      <c r="D351" s="54"/>
      <c r="E351" s="55"/>
    </row>
    <row r="352">
      <c r="B352" s="54"/>
      <c r="D352" s="54"/>
      <c r="E352" s="55"/>
    </row>
    <row r="353">
      <c r="B353" s="54"/>
      <c r="D353" s="54"/>
      <c r="E353" s="55"/>
    </row>
    <row r="354">
      <c r="B354" s="54"/>
      <c r="D354" s="54"/>
      <c r="E354" s="55"/>
    </row>
    <row r="355">
      <c r="B355" s="54"/>
      <c r="D355" s="54"/>
      <c r="E355" s="55"/>
    </row>
    <row r="356">
      <c r="B356" s="54"/>
      <c r="D356" s="54"/>
      <c r="E356" s="55"/>
    </row>
    <row r="357">
      <c r="B357" s="54"/>
      <c r="D357" s="54"/>
      <c r="E357" s="55"/>
    </row>
    <row r="358">
      <c r="B358" s="54"/>
      <c r="D358" s="54"/>
      <c r="E358" s="55"/>
    </row>
    <row r="359">
      <c r="B359" s="54"/>
      <c r="D359" s="54"/>
      <c r="E359" s="55"/>
    </row>
    <row r="360">
      <c r="B360" s="54"/>
      <c r="D360" s="54"/>
      <c r="E360" s="55"/>
    </row>
    <row r="361">
      <c r="B361" s="54"/>
      <c r="D361" s="54"/>
      <c r="E361" s="55"/>
    </row>
    <row r="362">
      <c r="B362" s="54"/>
      <c r="D362" s="54"/>
      <c r="E362" s="55"/>
    </row>
    <row r="363">
      <c r="B363" s="54"/>
      <c r="D363" s="54"/>
      <c r="E363" s="55"/>
    </row>
    <row r="364">
      <c r="B364" s="54"/>
      <c r="D364" s="54"/>
      <c r="E364" s="55"/>
    </row>
    <row r="365">
      <c r="B365" s="54"/>
      <c r="D365" s="54"/>
      <c r="E365" s="55"/>
    </row>
    <row r="366">
      <c r="B366" s="54"/>
      <c r="D366" s="54"/>
      <c r="E366" s="55"/>
    </row>
    <row r="367">
      <c r="B367" s="54"/>
      <c r="D367" s="54"/>
      <c r="E367" s="55"/>
    </row>
    <row r="368">
      <c r="B368" s="54"/>
      <c r="D368" s="54"/>
      <c r="E368" s="55"/>
    </row>
    <row r="369">
      <c r="B369" s="54"/>
      <c r="D369" s="54"/>
      <c r="E369" s="55"/>
    </row>
    <row r="370">
      <c r="B370" s="54"/>
      <c r="D370" s="54"/>
      <c r="E370" s="55"/>
    </row>
    <row r="371">
      <c r="B371" s="54"/>
      <c r="D371" s="54"/>
      <c r="E371" s="55"/>
    </row>
    <row r="372">
      <c r="B372" s="54"/>
      <c r="D372" s="54"/>
      <c r="E372" s="55"/>
    </row>
    <row r="373">
      <c r="B373" s="54"/>
      <c r="D373" s="54"/>
      <c r="E373" s="55"/>
    </row>
    <row r="374">
      <c r="B374" s="54"/>
      <c r="D374" s="54"/>
      <c r="E374" s="55"/>
    </row>
    <row r="375">
      <c r="B375" s="54"/>
      <c r="D375" s="54"/>
      <c r="E375" s="55"/>
    </row>
    <row r="376">
      <c r="B376" s="54"/>
      <c r="D376" s="54"/>
      <c r="E376" s="55"/>
    </row>
    <row r="377">
      <c r="B377" s="54"/>
      <c r="D377" s="54"/>
      <c r="E377" s="55"/>
    </row>
    <row r="378">
      <c r="B378" s="54"/>
      <c r="D378" s="54"/>
      <c r="E378" s="55"/>
    </row>
    <row r="379">
      <c r="B379" s="54"/>
      <c r="D379" s="54"/>
      <c r="E379" s="55"/>
    </row>
    <row r="380">
      <c r="B380" s="54"/>
      <c r="D380" s="54"/>
      <c r="E380" s="55"/>
    </row>
    <row r="381">
      <c r="B381" s="54"/>
      <c r="D381" s="54"/>
      <c r="E381" s="55"/>
    </row>
    <row r="382">
      <c r="B382" s="54"/>
      <c r="D382" s="54"/>
      <c r="E382" s="55"/>
    </row>
    <row r="383">
      <c r="B383" s="54"/>
      <c r="D383" s="54"/>
      <c r="E383" s="55"/>
    </row>
    <row r="384">
      <c r="B384" s="54"/>
      <c r="D384" s="54"/>
      <c r="E384" s="55"/>
    </row>
    <row r="385">
      <c r="B385" s="54"/>
      <c r="D385" s="54"/>
      <c r="E385" s="55"/>
    </row>
    <row r="386">
      <c r="B386" s="54"/>
      <c r="D386" s="54"/>
      <c r="E386" s="55"/>
    </row>
    <row r="387">
      <c r="B387" s="54"/>
      <c r="D387" s="54"/>
      <c r="E387" s="55"/>
    </row>
    <row r="388">
      <c r="B388" s="54"/>
      <c r="D388" s="54"/>
      <c r="E388" s="55"/>
    </row>
    <row r="389">
      <c r="B389" s="54"/>
      <c r="D389" s="54"/>
      <c r="E389" s="55"/>
    </row>
    <row r="390">
      <c r="B390" s="54"/>
      <c r="D390" s="54"/>
      <c r="E390" s="55"/>
    </row>
    <row r="391">
      <c r="B391" s="54"/>
      <c r="D391" s="54"/>
      <c r="E391" s="55"/>
    </row>
    <row r="392">
      <c r="B392" s="54"/>
      <c r="D392" s="54"/>
      <c r="E392" s="55"/>
    </row>
    <row r="393">
      <c r="B393" s="54"/>
      <c r="D393" s="54"/>
      <c r="E393" s="55"/>
    </row>
    <row r="394">
      <c r="B394" s="54"/>
      <c r="D394" s="54"/>
      <c r="E394" s="55"/>
    </row>
    <row r="395">
      <c r="B395" s="54"/>
      <c r="D395" s="54"/>
      <c r="E395" s="55"/>
    </row>
    <row r="396">
      <c r="B396" s="54"/>
      <c r="D396" s="54"/>
      <c r="E396" s="55"/>
    </row>
    <row r="397">
      <c r="B397" s="54"/>
      <c r="D397" s="54"/>
      <c r="E397" s="55"/>
    </row>
    <row r="398">
      <c r="B398" s="54"/>
      <c r="D398" s="54"/>
      <c r="E398" s="55"/>
    </row>
    <row r="399">
      <c r="B399" s="54"/>
      <c r="D399" s="54"/>
      <c r="E399" s="55"/>
    </row>
    <row r="400">
      <c r="B400" s="54"/>
      <c r="D400" s="54"/>
      <c r="E400" s="55"/>
    </row>
    <row r="401">
      <c r="B401" s="54"/>
      <c r="D401" s="54"/>
      <c r="E401" s="55"/>
    </row>
    <row r="402">
      <c r="B402" s="54"/>
      <c r="D402" s="54"/>
      <c r="E402" s="55"/>
    </row>
    <row r="403">
      <c r="B403" s="54"/>
      <c r="D403" s="54"/>
      <c r="E403" s="55"/>
    </row>
    <row r="404">
      <c r="B404" s="54"/>
      <c r="D404" s="54"/>
      <c r="E404" s="55"/>
    </row>
    <row r="405">
      <c r="B405" s="54"/>
      <c r="D405" s="54"/>
      <c r="E405" s="55"/>
    </row>
    <row r="406">
      <c r="B406" s="54"/>
      <c r="D406" s="54"/>
      <c r="E406" s="55"/>
    </row>
    <row r="407">
      <c r="B407" s="54"/>
      <c r="D407" s="54"/>
      <c r="E407" s="55"/>
    </row>
    <row r="408">
      <c r="B408" s="54"/>
      <c r="D408" s="54"/>
      <c r="E408" s="55"/>
    </row>
    <row r="409">
      <c r="B409" s="54"/>
      <c r="D409" s="54"/>
      <c r="E409" s="55"/>
    </row>
    <row r="410">
      <c r="B410" s="54"/>
      <c r="D410" s="54"/>
      <c r="E410" s="55"/>
    </row>
    <row r="411">
      <c r="B411" s="54"/>
      <c r="D411" s="54"/>
      <c r="E411" s="55"/>
    </row>
    <row r="412">
      <c r="B412" s="54"/>
      <c r="D412" s="54"/>
      <c r="E412" s="55"/>
    </row>
    <row r="413">
      <c r="B413" s="54"/>
      <c r="D413" s="54"/>
      <c r="E413" s="55"/>
    </row>
    <row r="414">
      <c r="B414" s="54"/>
      <c r="D414" s="54"/>
      <c r="E414" s="55"/>
    </row>
    <row r="415">
      <c r="B415" s="54"/>
      <c r="D415" s="54"/>
      <c r="E415" s="55"/>
    </row>
    <row r="416">
      <c r="B416" s="54"/>
      <c r="D416" s="54"/>
      <c r="E416" s="55"/>
    </row>
    <row r="417">
      <c r="B417" s="54"/>
      <c r="D417" s="54"/>
      <c r="E417" s="55"/>
    </row>
    <row r="418">
      <c r="B418" s="54"/>
      <c r="D418" s="54"/>
      <c r="E418" s="55"/>
    </row>
    <row r="419">
      <c r="B419" s="54"/>
      <c r="D419" s="54"/>
      <c r="E419" s="55"/>
    </row>
    <row r="420">
      <c r="B420" s="54"/>
      <c r="D420" s="54"/>
      <c r="E420" s="55"/>
    </row>
    <row r="421">
      <c r="B421" s="54"/>
      <c r="D421" s="54"/>
      <c r="E421" s="55"/>
    </row>
    <row r="422">
      <c r="B422" s="54"/>
      <c r="D422" s="54"/>
      <c r="E422" s="55"/>
    </row>
    <row r="423">
      <c r="B423" s="54"/>
      <c r="D423" s="54"/>
      <c r="E423" s="55"/>
    </row>
    <row r="424">
      <c r="B424" s="54"/>
      <c r="D424" s="54"/>
      <c r="E424" s="55"/>
    </row>
    <row r="425">
      <c r="B425" s="54"/>
      <c r="D425" s="54"/>
      <c r="E425" s="55"/>
    </row>
    <row r="426">
      <c r="B426" s="54"/>
      <c r="D426" s="54"/>
      <c r="E426" s="55"/>
    </row>
    <row r="427">
      <c r="B427" s="54"/>
      <c r="D427" s="54"/>
      <c r="E427" s="55"/>
    </row>
    <row r="428">
      <c r="B428" s="54"/>
      <c r="D428" s="54"/>
      <c r="E428" s="55"/>
    </row>
    <row r="429">
      <c r="B429" s="54"/>
      <c r="D429" s="54"/>
      <c r="E429" s="55"/>
    </row>
    <row r="430">
      <c r="B430" s="54"/>
      <c r="D430" s="54"/>
      <c r="E430" s="55"/>
    </row>
    <row r="431">
      <c r="B431" s="54"/>
      <c r="D431" s="54"/>
      <c r="E431" s="55"/>
    </row>
    <row r="432">
      <c r="B432" s="54"/>
      <c r="D432" s="54"/>
      <c r="E432" s="55"/>
    </row>
    <row r="433">
      <c r="B433" s="54"/>
      <c r="D433" s="54"/>
      <c r="E433" s="55"/>
    </row>
    <row r="434">
      <c r="B434" s="54"/>
      <c r="D434" s="54"/>
      <c r="E434" s="55"/>
    </row>
    <row r="435">
      <c r="B435" s="54"/>
      <c r="D435" s="54"/>
      <c r="E435" s="55"/>
    </row>
    <row r="436">
      <c r="B436" s="54"/>
      <c r="D436" s="54"/>
      <c r="E436" s="55"/>
    </row>
    <row r="437">
      <c r="B437" s="54"/>
      <c r="D437" s="54"/>
      <c r="E437" s="55"/>
    </row>
    <row r="438">
      <c r="B438" s="54"/>
      <c r="D438" s="54"/>
      <c r="E438" s="55"/>
    </row>
    <row r="439">
      <c r="B439" s="54"/>
      <c r="D439" s="54"/>
      <c r="E439" s="55"/>
    </row>
    <row r="440">
      <c r="B440" s="54"/>
      <c r="D440" s="54"/>
      <c r="E440" s="55"/>
    </row>
    <row r="441">
      <c r="B441" s="54"/>
      <c r="D441" s="54"/>
      <c r="E441" s="55"/>
    </row>
    <row r="442">
      <c r="B442" s="54"/>
      <c r="D442" s="54"/>
      <c r="E442" s="55"/>
    </row>
    <row r="443">
      <c r="B443" s="54"/>
      <c r="D443" s="54"/>
      <c r="E443" s="55"/>
    </row>
    <row r="444">
      <c r="B444" s="54"/>
      <c r="D444" s="54"/>
      <c r="E444" s="55"/>
    </row>
    <row r="445">
      <c r="B445" s="54"/>
      <c r="D445" s="54"/>
      <c r="E445" s="55"/>
    </row>
    <row r="446">
      <c r="B446" s="54"/>
      <c r="D446" s="54"/>
      <c r="E446" s="55"/>
    </row>
    <row r="447">
      <c r="B447" s="54"/>
      <c r="D447" s="54"/>
      <c r="E447" s="55"/>
    </row>
    <row r="448">
      <c r="B448" s="54"/>
      <c r="D448" s="54"/>
      <c r="E448" s="55"/>
    </row>
    <row r="449">
      <c r="B449" s="54"/>
      <c r="D449" s="54"/>
      <c r="E449" s="55"/>
    </row>
    <row r="450">
      <c r="B450" s="54"/>
      <c r="D450" s="54"/>
      <c r="E450" s="55"/>
    </row>
    <row r="451">
      <c r="B451" s="54"/>
      <c r="D451" s="54"/>
      <c r="E451" s="55"/>
    </row>
    <row r="452">
      <c r="B452" s="54"/>
      <c r="D452" s="54"/>
      <c r="E452" s="55"/>
    </row>
    <row r="453">
      <c r="B453" s="54"/>
      <c r="D453" s="54"/>
      <c r="E453" s="55"/>
    </row>
    <row r="454">
      <c r="B454" s="54"/>
      <c r="D454" s="54"/>
      <c r="E454" s="55"/>
    </row>
    <row r="455">
      <c r="B455" s="54"/>
      <c r="D455" s="54"/>
      <c r="E455" s="55"/>
    </row>
    <row r="456">
      <c r="B456" s="54"/>
      <c r="D456" s="54"/>
      <c r="E456" s="55"/>
    </row>
    <row r="457">
      <c r="B457" s="54"/>
      <c r="D457" s="54"/>
      <c r="E457" s="55"/>
    </row>
    <row r="458">
      <c r="B458" s="54"/>
      <c r="D458" s="54"/>
      <c r="E458" s="55"/>
    </row>
    <row r="459">
      <c r="B459" s="54"/>
      <c r="D459" s="54"/>
      <c r="E459" s="55"/>
    </row>
    <row r="460">
      <c r="B460" s="54"/>
      <c r="D460" s="54"/>
      <c r="E460" s="55"/>
    </row>
    <row r="461">
      <c r="B461" s="54"/>
      <c r="D461" s="54"/>
      <c r="E461" s="55"/>
    </row>
    <row r="462">
      <c r="B462" s="54"/>
      <c r="D462" s="54"/>
      <c r="E462" s="55"/>
    </row>
    <row r="463">
      <c r="B463" s="54"/>
      <c r="D463" s="54"/>
      <c r="E463" s="55"/>
    </row>
    <row r="464">
      <c r="B464" s="54"/>
      <c r="D464" s="54"/>
      <c r="E464" s="55"/>
    </row>
    <row r="465">
      <c r="B465" s="54"/>
      <c r="D465" s="54"/>
      <c r="E465" s="55"/>
    </row>
    <row r="466">
      <c r="B466" s="54"/>
      <c r="D466" s="54"/>
      <c r="E466" s="55"/>
    </row>
    <row r="467">
      <c r="B467" s="54"/>
      <c r="D467" s="54"/>
      <c r="E467" s="55"/>
    </row>
    <row r="468">
      <c r="B468" s="54"/>
      <c r="D468" s="54"/>
      <c r="E468" s="55"/>
    </row>
    <row r="469">
      <c r="B469" s="54"/>
      <c r="D469" s="54"/>
      <c r="E469" s="55"/>
    </row>
    <row r="470">
      <c r="B470" s="54"/>
      <c r="D470" s="54"/>
      <c r="E470" s="55"/>
    </row>
    <row r="471">
      <c r="B471" s="54"/>
      <c r="D471" s="54"/>
      <c r="E471" s="55"/>
    </row>
    <row r="472">
      <c r="B472" s="54"/>
      <c r="D472" s="54"/>
      <c r="E472" s="55"/>
    </row>
    <row r="473">
      <c r="B473" s="54"/>
      <c r="D473" s="54"/>
      <c r="E473" s="55"/>
    </row>
    <row r="474">
      <c r="B474" s="54"/>
      <c r="D474" s="54"/>
      <c r="E474" s="55"/>
    </row>
    <row r="475">
      <c r="B475" s="54"/>
      <c r="D475" s="54"/>
      <c r="E475" s="55"/>
    </row>
    <row r="476">
      <c r="B476" s="54"/>
      <c r="D476" s="54"/>
      <c r="E476" s="55"/>
    </row>
    <row r="477">
      <c r="B477" s="54"/>
      <c r="D477" s="54"/>
      <c r="E477" s="55"/>
    </row>
    <row r="478">
      <c r="B478" s="54"/>
      <c r="D478" s="54"/>
      <c r="E478" s="55"/>
    </row>
    <row r="479">
      <c r="B479" s="54"/>
      <c r="D479" s="54"/>
      <c r="E479" s="55"/>
    </row>
    <row r="480">
      <c r="B480" s="54"/>
      <c r="D480" s="54"/>
      <c r="E480" s="55"/>
    </row>
    <row r="481">
      <c r="B481" s="54"/>
      <c r="D481" s="54"/>
      <c r="E481" s="55"/>
    </row>
    <row r="482">
      <c r="B482" s="54"/>
      <c r="D482" s="54"/>
      <c r="E482" s="55"/>
    </row>
    <row r="483">
      <c r="B483" s="54"/>
      <c r="D483" s="54"/>
      <c r="E483" s="55"/>
    </row>
    <row r="484">
      <c r="B484" s="54"/>
      <c r="D484" s="54"/>
      <c r="E484" s="55"/>
    </row>
    <row r="485">
      <c r="B485" s="54"/>
      <c r="D485" s="54"/>
      <c r="E485" s="55"/>
    </row>
    <row r="486">
      <c r="B486" s="54"/>
      <c r="D486" s="54"/>
      <c r="E486" s="55"/>
    </row>
    <row r="487">
      <c r="B487" s="54"/>
      <c r="D487" s="54"/>
      <c r="E487" s="55"/>
    </row>
    <row r="488">
      <c r="B488" s="54"/>
      <c r="D488" s="54"/>
      <c r="E488" s="55"/>
    </row>
    <row r="489">
      <c r="B489" s="54"/>
      <c r="D489" s="54"/>
      <c r="E489" s="55"/>
    </row>
    <row r="490">
      <c r="B490" s="54"/>
      <c r="D490" s="54"/>
      <c r="E490" s="55"/>
    </row>
    <row r="491">
      <c r="B491" s="54"/>
      <c r="D491" s="54"/>
      <c r="E491" s="55"/>
    </row>
    <row r="492">
      <c r="B492" s="54"/>
      <c r="D492" s="54"/>
      <c r="E492" s="55"/>
    </row>
    <row r="493">
      <c r="B493" s="54"/>
      <c r="D493" s="54"/>
      <c r="E493" s="55"/>
    </row>
    <row r="494">
      <c r="B494" s="54"/>
      <c r="D494" s="54"/>
      <c r="E494" s="55"/>
    </row>
    <row r="495">
      <c r="B495" s="54"/>
      <c r="D495" s="54"/>
      <c r="E495" s="55"/>
    </row>
    <row r="496">
      <c r="B496" s="54"/>
      <c r="D496" s="54"/>
      <c r="E496" s="55"/>
    </row>
    <row r="497">
      <c r="B497" s="54"/>
      <c r="D497" s="54"/>
      <c r="E497" s="55"/>
    </row>
    <row r="498">
      <c r="B498" s="54"/>
      <c r="D498" s="54"/>
      <c r="E498" s="55"/>
    </row>
    <row r="499">
      <c r="B499" s="54"/>
      <c r="D499" s="54"/>
      <c r="E499" s="55"/>
    </row>
    <row r="500">
      <c r="B500" s="54"/>
      <c r="D500" s="54"/>
      <c r="E500" s="55"/>
    </row>
    <row r="501">
      <c r="B501" s="54"/>
      <c r="D501" s="54"/>
      <c r="E501" s="55"/>
    </row>
    <row r="502">
      <c r="B502" s="54"/>
      <c r="D502" s="54"/>
      <c r="E502" s="55"/>
    </row>
    <row r="503">
      <c r="B503" s="54"/>
      <c r="D503" s="54"/>
      <c r="E503" s="55"/>
    </row>
    <row r="504">
      <c r="B504" s="54"/>
      <c r="D504" s="54"/>
      <c r="E504" s="55"/>
    </row>
    <row r="505">
      <c r="B505" s="54"/>
      <c r="D505" s="54"/>
      <c r="E505" s="55"/>
    </row>
    <row r="506">
      <c r="B506" s="54"/>
      <c r="D506" s="54"/>
      <c r="E506" s="55"/>
    </row>
    <row r="507">
      <c r="B507" s="54"/>
      <c r="D507" s="54"/>
      <c r="E507" s="55"/>
    </row>
    <row r="508">
      <c r="B508" s="54"/>
      <c r="D508" s="54"/>
      <c r="E508" s="55"/>
    </row>
    <row r="509">
      <c r="B509" s="54"/>
      <c r="D509" s="54"/>
      <c r="E509" s="55"/>
    </row>
    <row r="510">
      <c r="B510" s="54"/>
      <c r="D510" s="54"/>
      <c r="E510" s="55"/>
    </row>
    <row r="511">
      <c r="B511" s="54"/>
      <c r="D511" s="54"/>
      <c r="E511" s="55"/>
    </row>
    <row r="512">
      <c r="B512" s="54"/>
      <c r="D512" s="54"/>
      <c r="E512" s="55"/>
    </row>
    <row r="513">
      <c r="B513" s="54"/>
      <c r="D513" s="54"/>
      <c r="E513" s="55"/>
    </row>
    <row r="514">
      <c r="B514" s="54"/>
      <c r="D514" s="54"/>
      <c r="E514" s="55"/>
    </row>
    <row r="515">
      <c r="B515" s="54"/>
      <c r="D515" s="54"/>
      <c r="E515" s="55"/>
    </row>
    <row r="516">
      <c r="B516" s="54"/>
      <c r="D516" s="54"/>
      <c r="E516" s="55"/>
    </row>
    <row r="517">
      <c r="B517" s="54"/>
      <c r="D517" s="54"/>
      <c r="E517" s="55"/>
    </row>
    <row r="518">
      <c r="B518" s="54"/>
      <c r="D518" s="54"/>
      <c r="E518" s="55"/>
    </row>
    <row r="519">
      <c r="B519" s="54"/>
      <c r="D519" s="54"/>
      <c r="E519" s="55"/>
    </row>
    <row r="520">
      <c r="B520" s="54"/>
      <c r="D520" s="54"/>
      <c r="E520" s="55"/>
    </row>
    <row r="521">
      <c r="B521" s="54"/>
      <c r="D521" s="54"/>
      <c r="E521" s="55"/>
    </row>
    <row r="522">
      <c r="B522" s="54"/>
      <c r="D522" s="54"/>
      <c r="E522" s="55"/>
    </row>
    <row r="523">
      <c r="B523" s="54"/>
      <c r="D523" s="54"/>
      <c r="E523" s="55"/>
    </row>
    <row r="524">
      <c r="B524" s="54"/>
      <c r="D524" s="54"/>
      <c r="E524" s="55"/>
    </row>
    <row r="525">
      <c r="B525" s="54"/>
      <c r="D525" s="54"/>
      <c r="E525" s="55"/>
    </row>
    <row r="526">
      <c r="B526" s="54"/>
      <c r="D526" s="54"/>
      <c r="E526" s="55"/>
    </row>
    <row r="527">
      <c r="B527" s="54"/>
      <c r="D527" s="54"/>
      <c r="E527" s="55"/>
    </row>
    <row r="528">
      <c r="B528" s="54"/>
      <c r="D528" s="54"/>
      <c r="E528" s="55"/>
    </row>
    <row r="529">
      <c r="B529" s="54"/>
      <c r="D529" s="54"/>
      <c r="E529" s="55"/>
    </row>
    <row r="530">
      <c r="B530" s="54"/>
      <c r="D530" s="54"/>
      <c r="E530" s="55"/>
    </row>
    <row r="531">
      <c r="B531" s="54"/>
      <c r="D531" s="54"/>
      <c r="E531" s="55"/>
    </row>
    <row r="532">
      <c r="B532" s="54"/>
      <c r="D532" s="54"/>
      <c r="E532" s="55"/>
    </row>
    <row r="533">
      <c r="B533" s="54"/>
      <c r="D533" s="54"/>
      <c r="E533" s="55"/>
    </row>
    <row r="534">
      <c r="B534" s="54"/>
      <c r="D534" s="54"/>
      <c r="E534" s="55"/>
    </row>
    <row r="535">
      <c r="B535" s="54"/>
      <c r="D535" s="54"/>
      <c r="E535" s="55"/>
    </row>
    <row r="536">
      <c r="B536" s="54"/>
      <c r="D536" s="54"/>
      <c r="E536" s="55"/>
    </row>
    <row r="537">
      <c r="B537" s="54"/>
      <c r="D537" s="54"/>
      <c r="E537" s="55"/>
    </row>
    <row r="538">
      <c r="B538" s="54"/>
      <c r="D538" s="54"/>
      <c r="E538" s="55"/>
    </row>
    <row r="539">
      <c r="B539" s="54"/>
      <c r="D539" s="54"/>
      <c r="E539" s="55"/>
    </row>
    <row r="540">
      <c r="B540" s="54"/>
      <c r="D540" s="54"/>
      <c r="E540" s="55"/>
    </row>
    <row r="541">
      <c r="B541" s="54"/>
      <c r="D541" s="54"/>
      <c r="E541" s="55"/>
    </row>
    <row r="542">
      <c r="B542" s="54"/>
      <c r="D542" s="54"/>
      <c r="E542" s="55"/>
    </row>
    <row r="543">
      <c r="B543" s="54"/>
      <c r="D543" s="54"/>
      <c r="E543" s="55"/>
    </row>
    <row r="544">
      <c r="B544" s="54"/>
      <c r="D544" s="54"/>
      <c r="E544" s="55"/>
    </row>
    <row r="545">
      <c r="B545" s="54"/>
      <c r="D545" s="54"/>
      <c r="E545" s="55"/>
    </row>
    <row r="546">
      <c r="B546" s="54"/>
      <c r="D546" s="54"/>
      <c r="E546" s="55"/>
    </row>
    <row r="547">
      <c r="B547" s="54"/>
      <c r="D547" s="54"/>
      <c r="E547" s="55"/>
    </row>
    <row r="548">
      <c r="B548" s="54"/>
      <c r="D548" s="54"/>
      <c r="E548" s="55"/>
    </row>
    <row r="549">
      <c r="B549" s="54"/>
      <c r="D549" s="54"/>
      <c r="E549" s="55"/>
    </row>
    <row r="550">
      <c r="B550" s="54"/>
      <c r="D550" s="54"/>
      <c r="E550" s="55"/>
    </row>
    <row r="551">
      <c r="B551" s="54"/>
      <c r="D551" s="54"/>
      <c r="E551" s="55"/>
    </row>
    <row r="552">
      <c r="B552" s="54"/>
      <c r="D552" s="54"/>
      <c r="E552" s="55"/>
    </row>
    <row r="553">
      <c r="B553" s="54"/>
      <c r="D553" s="54"/>
      <c r="E553" s="55"/>
    </row>
    <row r="554">
      <c r="B554" s="54"/>
      <c r="D554" s="54"/>
      <c r="E554" s="55"/>
    </row>
    <row r="555">
      <c r="B555" s="54"/>
      <c r="D555" s="54"/>
      <c r="E555" s="55"/>
    </row>
    <row r="556">
      <c r="B556" s="54"/>
      <c r="D556" s="54"/>
      <c r="E556" s="55"/>
    </row>
    <row r="557">
      <c r="B557" s="54"/>
      <c r="D557" s="54"/>
      <c r="E557" s="55"/>
    </row>
    <row r="558">
      <c r="B558" s="54"/>
      <c r="D558" s="54"/>
      <c r="E558" s="55"/>
    </row>
    <row r="559">
      <c r="B559" s="54"/>
      <c r="D559" s="54"/>
      <c r="E559" s="55"/>
    </row>
    <row r="560">
      <c r="B560" s="54"/>
      <c r="D560" s="54"/>
      <c r="E560" s="55"/>
    </row>
    <row r="561">
      <c r="B561" s="54"/>
      <c r="D561" s="54"/>
      <c r="E561" s="55"/>
    </row>
    <row r="562">
      <c r="B562" s="54"/>
      <c r="D562" s="54"/>
      <c r="E562" s="55"/>
    </row>
    <row r="563">
      <c r="B563" s="54"/>
      <c r="D563" s="54"/>
      <c r="E563" s="55"/>
    </row>
    <row r="564">
      <c r="B564" s="54"/>
      <c r="D564" s="54"/>
      <c r="E564" s="55"/>
    </row>
    <row r="565">
      <c r="B565" s="54"/>
      <c r="D565" s="54"/>
      <c r="E565" s="55"/>
    </row>
    <row r="566">
      <c r="B566" s="54"/>
      <c r="D566" s="54"/>
      <c r="E566" s="55"/>
    </row>
    <row r="567">
      <c r="B567" s="54"/>
      <c r="D567" s="54"/>
      <c r="E567" s="55"/>
    </row>
    <row r="568">
      <c r="B568" s="54"/>
      <c r="D568" s="54"/>
      <c r="E568" s="55"/>
    </row>
    <row r="569">
      <c r="B569" s="54"/>
      <c r="D569" s="54"/>
      <c r="E569" s="55"/>
    </row>
    <row r="570">
      <c r="B570" s="54"/>
      <c r="D570" s="54"/>
      <c r="E570" s="55"/>
    </row>
    <row r="571">
      <c r="B571" s="54"/>
      <c r="D571" s="54"/>
      <c r="E571" s="55"/>
    </row>
    <row r="572">
      <c r="B572" s="54"/>
      <c r="D572" s="54"/>
      <c r="E572" s="55"/>
    </row>
    <row r="573">
      <c r="B573" s="54"/>
      <c r="D573" s="54"/>
      <c r="E573" s="55"/>
    </row>
    <row r="574">
      <c r="B574" s="54"/>
      <c r="D574" s="54"/>
      <c r="E574" s="55"/>
    </row>
    <row r="575">
      <c r="B575" s="54"/>
      <c r="D575" s="54"/>
      <c r="E575" s="55"/>
    </row>
    <row r="576">
      <c r="B576" s="54"/>
      <c r="D576" s="54"/>
      <c r="E576" s="55"/>
    </row>
    <row r="577">
      <c r="B577" s="54"/>
      <c r="D577" s="54"/>
      <c r="E577" s="55"/>
    </row>
    <row r="578">
      <c r="B578" s="54"/>
      <c r="D578" s="54"/>
      <c r="E578" s="55"/>
    </row>
    <row r="579">
      <c r="B579" s="54"/>
      <c r="D579" s="54"/>
      <c r="E579" s="55"/>
    </row>
    <row r="580">
      <c r="B580" s="54"/>
      <c r="D580" s="54"/>
      <c r="E580" s="55"/>
    </row>
    <row r="581">
      <c r="B581" s="54"/>
      <c r="D581" s="54"/>
      <c r="E581" s="55"/>
    </row>
    <row r="582">
      <c r="B582" s="54"/>
      <c r="D582" s="54"/>
      <c r="E582" s="55"/>
    </row>
    <row r="583">
      <c r="B583" s="54"/>
      <c r="D583" s="54"/>
      <c r="E583" s="55"/>
    </row>
    <row r="584">
      <c r="B584" s="54"/>
      <c r="D584" s="54"/>
      <c r="E584" s="55"/>
    </row>
    <row r="585">
      <c r="B585" s="54"/>
      <c r="D585" s="54"/>
      <c r="E585" s="55"/>
    </row>
    <row r="586">
      <c r="B586" s="54"/>
      <c r="D586" s="54"/>
      <c r="E586" s="55"/>
    </row>
    <row r="587">
      <c r="B587" s="54"/>
      <c r="D587" s="54"/>
      <c r="E587" s="55"/>
    </row>
    <row r="588">
      <c r="B588" s="54"/>
      <c r="D588" s="54"/>
      <c r="E588" s="55"/>
    </row>
    <row r="589">
      <c r="B589" s="54"/>
      <c r="D589" s="54"/>
      <c r="E589" s="55"/>
    </row>
    <row r="590">
      <c r="B590" s="54"/>
      <c r="D590" s="54"/>
      <c r="E590" s="55"/>
    </row>
    <row r="591">
      <c r="B591" s="54"/>
      <c r="D591" s="54"/>
      <c r="E591" s="55"/>
    </row>
    <row r="592">
      <c r="B592" s="54"/>
      <c r="D592" s="54"/>
      <c r="E592" s="55"/>
    </row>
    <row r="593">
      <c r="B593" s="54"/>
      <c r="D593" s="54"/>
      <c r="E593" s="55"/>
    </row>
    <row r="594">
      <c r="B594" s="54"/>
      <c r="D594" s="54"/>
      <c r="E594" s="55"/>
    </row>
    <row r="595">
      <c r="B595" s="54"/>
      <c r="D595" s="54"/>
      <c r="E595" s="55"/>
    </row>
    <row r="596">
      <c r="B596" s="54"/>
      <c r="D596" s="54"/>
      <c r="E596" s="55"/>
    </row>
    <row r="597">
      <c r="B597" s="54"/>
      <c r="D597" s="54"/>
      <c r="E597" s="55"/>
    </row>
    <row r="598">
      <c r="B598" s="54"/>
      <c r="D598" s="54"/>
      <c r="E598" s="55"/>
    </row>
    <row r="599">
      <c r="B599" s="54"/>
      <c r="D599" s="54"/>
      <c r="E599" s="55"/>
    </row>
    <row r="600">
      <c r="B600" s="54"/>
      <c r="D600" s="54"/>
      <c r="E600" s="55"/>
    </row>
    <row r="601">
      <c r="B601" s="54"/>
      <c r="D601" s="54"/>
      <c r="E601" s="55"/>
    </row>
    <row r="602">
      <c r="B602" s="54"/>
      <c r="D602" s="54"/>
      <c r="E602" s="55"/>
    </row>
    <row r="603">
      <c r="B603" s="54"/>
      <c r="D603" s="54"/>
      <c r="E603" s="55"/>
    </row>
    <row r="604">
      <c r="B604" s="54"/>
      <c r="D604" s="54"/>
      <c r="E604" s="55"/>
    </row>
    <row r="605">
      <c r="B605" s="54"/>
      <c r="D605" s="54"/>
      <c r="E605" s="55"/>
    </row>
    <row r="606">
      <c r="B606" s="54"/>
      <c r="D606" s="54"/>
      <c r="E606" s="55"/>
    </row>
    <row r="607">
      <c r="B607" s="54"/>
      <c r="D607" s="54"/>
      <c r="E607" s="55"/>
    </row>
    <row r="608">
      <c r="B608" s="54"/>
      <c r="D608" s="54"/>
      <c r="E608" s="55"/>
    </row>
    <row r="609">
      <c r="B609" s="54"/>
      <c r="D609" s="54"/>
      <c r="E609" s="55"/>
    </row>
    <row r="610">
      <c r="B610" s="54"/>
      <c r="D610" s="54"/>
      <c r="E610" s="55"/>
    </row>
    <row r="611">
      <c r="B611" s="54"/>
      <c r="D611" s="54"/>
      <c r="E611" s="55"/>
    </row>
    <row r="612">
      <c r="B612" s="54"/>
      <c r="D612" s="54"/>
      <c r="E612" s="55"/>
    </row>
    <row r="613">
      <c r="B613" s="54"/>
      <c r="D613" s="54"/>
      <c r="E613" s="55"/>
    </row>
    <row r="614">
      <c r="B614" s="54"/>
      <c r="D614" s="54"/>
      <c r="E614" s="55"/>
    </row>
    <row r="615">
      <c r="B615" s="54"/>
      <c r="D615" s="54"/>
      <c r="E615" s="55"/>
    </row>
    <row r="616">
      <c r="B616" s="54"/>
      <c r="D616" s="54"/>
      <c r="E616" s="55"/>
    </row>
    <row r="617">
      <c r="B617" s="54"/>
      <c r="D617" s="54"/>
      <c r="E617" s="55"/>
    </row>
    <row r="618">
      <c r="B618" s="54"/>
      <c r="D618" s="54"/>
      <c r="E618" s="55"/>
    </row>
    <row r="619">
      <c r="B619" s="54"/>
      <c r="D619" s="54"/>
      <c r="E619" s="55"/>
    </row>
    <row r="620">
      <c r="B620" s="54"/>
      <c r="D620" s="54"/>
      <c r="E620" s="55"/>
    </row>
    <row r="621">
      <c r="B621" s="54"/>
      <c r="D621" s="54"/>
      <c r="E621" s="55"/>
    </row>
    <row r="622">
      <c r="B622" s="54"/>
      <c r="D622" s="54"/>
      <c r="E622" s="55"/>
    </row>
    <row r="623">
      <c r="B623" s="54"/>
      <c r="D623" s="54"/>
      <c r="E623" s="55"/>
    </row>
    <row r="624">
      <c r="B624" s="54"/>
      <c r="D624" s="54"/>
      <c r="E624" s="55"/>
    </row>
    <row r="625">
      <c r="B625" s="54"/>
      <c r="D625" s="54"/>
      <c r="E625" s="55"/>
    </row>
    <row r="626">
      <c r="B626" s="54"/>
      <c r="D626" s="54"/>
      <c r="E626" s="55"/>
    </row>
    <row r="627">
      <c r="B627" s="54"/>
      <c r="D627" s="54"/>
      <c r="E627" s="55"/>
    </row>
    <row r="628">
      <c r="B628" s="54"/>
      <c r="D628" s="54"/>
      <c r="E628" s="55"/>
    </row>
    <row r="629">
      <c r="B629" s="54"/>
      <c r="D629" s="54"/>
      <c r="E629" s="55"/>
    </row>
    <row r="630">
      <c r="B630" s="54"/>
      <c r="D630" s="54"/>
      <c r="E630" s="55"/>
    </row>
    <row r="631">
      <c r="B631" s="54"/>
      <c r="D631" s="54"/>
      <c r="E631" s="55"/>
    </row>
    <row r="632">
      <c r="B632" s="54"/>
      <c r="D632" s="54"/>
      <c r="E632" s="55"/>
    </row>
    <row r="633">
      <c r="B633" s="54"/>
      <c r="D633" s="54"/>
      <c r="E633" s="55"/>
    </row>
    <row r="634">
      <c r="B634" s="54"/>
      <c r="D634" s="54"/>
      <c r="E634" s="55"/>
    </row>
    <row r="635">
      <c r="B635" s="54"/>
      <c r="D635" s="54"/>
      <c r="E635" s="55"/>
    </row>
    <row r="636">
      <c r="B636" s="54"/>
      <c r="D636" s="54"/>
      <c r="E636" s="55"/>
    </row>
    <row r="637">
      <c r="B637" s="54"/>
      <c r="D637" s="54"/>
      <c r="E637" s="55"/>
    </row>
    <row r="638">
      <c r="B638" s="54"/>
      <c r="D638" s="54"/>
      <c r="E638" s="55"/>
    </row>
    <row r="639">
      <c r="B639" s="54"/>
      <c r="D639" s="54"/>
      <c r="E639" s="55"/>
    </row>
    <row r="640">
      <c r="B640" s="54"/>
      <c r="D640" s="54"/>
      <c r="E640" s="55"/>
    </row>
    <row r="641">
      <c r="B641" s="54"/>
      <c r="D641" s="54"/>
      <c r="E641" s="55"/>
    </row>
    <row r="642">
      <c r="B642" s="54"/>
      <c r="D642" s="54"/>
      <c r="E642" s="55"/>
    </row>
    <row r="643">
      <c r="B643" s="54"/>
      <c r="D643" s="54"/>
      <c r="E643" s="55"/>
    </row>
    <row r="644">
      <c r="B644" s="54"/>
      <c r="D644" s="54"/>
      <c r="E644" s="55"/>
    </row>
    <row r="645">
      <c r="B645" s="54"/>
      <c r="D645" s="54"/>
      <c r="E645" s="55"/>
    </row>
    <row r="646">
      <c r="B646" s="54"/>
      <c r="D646" s="54"/>
      <c r="E646" s="55"/>
    </row>
    <row r="647">
      <c r="B647" s="54"/>
      <c r="D647" s="54"/>
      <c r="E647" s="55"/>
    </row>
    <row r="648">
      <c r="B648" s="54"/>
      <c r="D648" s="54"/>
      <c r="E648" s="55"/>
    </row>
    <row r="649">
      <c r="B649" s="54"/>
      <c r="D649" s="54"/>
      <c r="E649" s="55"/>
    </row>
    <row r="650">
      <c r="B650" s="54"/>
      <c r="D650" s="54"/>
      <c r="E650" s="55"/>
    </row>
    <row r="651">
      <c r="B651" s="54"/>
      <c r="D651" s="54"/>
      <c r="E651" s="55"/>
    </row>
    <row r="652">
      <c r="B652" s="54"/>
      <c r="D652" s="54"/>
      <c r="E652" s="55"/>
    </row>
    <row r="653">
      <c r="B653" s="54"/>
      <c r="D653" s="54"/>
      <c r="E653" s="55"/>
    </row>
    <row r="654">
      <c r="B654" s="54"/>
      <c r="D654" s="54"/>
      <c r="E654" s="55"/>
    </row>
    <row r="655">
      <c r="B655" s="54"/>
      <c r="D655" s="54"/>
      <c r="E655" s="55"/>
    </row>
    <row r="656">
      <c r="B656" s="54"/>
      <c r="D656" s="54"/>
      <c r="E656" s="55"/>
    </row>
    <row r="657">
      <c r="B657" s="54"/>
      <c r="D657" s="54"/>
      <c r="E657" s="55"/>
    </row>
    <row r="658">
      <c r="B658" s="54"/>
      <c r="D658" s="54"/>
      <c r="E658" s="55"/>
    </row>
    <row r="659">
      <c r="B659" s="54"/>
      <c r="D659" s="54"/>
      <c r="E659" s="55"/>
    </row>
    <row r="660">
      <c r="B660" s="54"/>
      <c r="D660" s="54"/>
      <c r="E660" s="55"/>
    </row>
    <row r="661">
      <c r="B661" s="54"/>
      <c r="D661" s="54"/>
      <c r="E661" s="55"/>
    </row>
    <row r="662">
      <c r="B662" s="54"/>
      <c r="D662" s="54"/>
      <c r="E662" s="55"/>
    </row>
    <row r="663">
      <c r="B663" s="54"/>
      <c r="D663" s="54"/>
      <c r="E663" s="55"/>
    </row>
    <row r="664">
      <c r="B664" s="54"/>
      <c r="D664" s="54"/>
      <c r="E664" s="55"/>
    </row>
    <row r="665">
      <c r="B665" s="54"/>
      <c r="D665" s="54"/>
      <c r="E665" s="55"/>
    </row>
    <row r="666">
      <c r="B666" s="54"/>
      <c r="D666" s="54"/>
      <c r="E666" s="55"/>
    </row>
    <row r="667">
      <c r="B667" s="54"/>
      <c r="D667" s="54"/>
      <c r="E667" s="55"/>
    </row>
    <row r="668">
      <c r="B668" s="54"/>
      <c r="D668" s="54"/>
      <c r="E668" s="55"/>
    </row>
    <row r="669">
      <c r="B669" s="54"/>
      <c r="D669" s="54"/>
      <c r="E669" s="55"/>
    </row>
    <row r="670">
      <c r="B670" s="54"/>
      <c r="D670" s="54"/>
      <c r="E670" s="55"/>
    </row>
    <row r="671">
      <c r="B671" s="54"/>
      <c r="D671" s="54"/>
      <c r="E671" s="55"/>
    </row>
    <row r="672">
      <c r="B672" s="54"/>
      <c r="D672" s="54"/>
      <c r="E672" s="55"/>
    </row>
    <row r="673">
      <c r="B673" s="54"/>
      <c r="D673" s="54"/>
      <c r="E673" s="55"/>
    </row>
    <row r="674">
      <c r="B674" s="54"/>
      <c r="D674" s="54"/>
      <c r="E674" s="55"/>
    </row>
    <row r="675">
      <c r="B675" s="54"/>
      <c r="D675" s="54"/>
      <c r="E675" s="55"/>
    </row>
    <row r="676">
      <c r="B676" s="54"/>
      <c r="D676" s="54"/>
      <c r="E676" s="55"/>
    </row>
    <row r="677">
      <c r="B677" s="54"/>
      <c r="D677" s="54"/>
      <c r="E677" s="55"/>
    </row>
    <row r="678">
      <c r="B678" s="54"/>
      <c r="D678" s="54"/>
      <c r="E678" s="55"/>
    </row>
    <row r="679">
      <c r="B679" s="54"/>
      <c r="D679" s="54"/>
      <c r="E679" s="55"/>
    </row>
    <row r="680">
      <c r="B680" s="54"/>
      <c r="D680" s="54"/>
      <c r="E680" s="55"/>
    </row>
    <row r="681">
      <c r="B681" s="54"/>
      <c r="D681" s="54"/>
      <c r="E681" s="55"/>
    </row>
    <row r="682">
      <c r="B682" s="54"/>
      <c r="D682" s="54"/>
      <c r="E682" s="55"/>
    </row>
    <row r="683">
      <c r="B683" s="54"/>
      <c r="D683" s="54"/>
      <c r="E683" s="55"/>
    </row>
    <row r="684">
      <c r="B684" s="54"/>
      <c r="D684" s="54"/>
      <c r="E684" s="55"/>
    </row>
    <row r="685">
      <c r="B685" s="54"/>
      <c r="D685" s="54"/>
      <c r="E685" s="55"/>
    </row>
    <row r="686">
      <c r="B686" s="54"/>
      <c r="D686" s="54"/>
      <c r="E686" s="55"/>
    </row>
    <row r="687">
      <c r="B687" s="54"/>
      <c r="D687" s="54"/>
      <c r="E687" s="55"/>
    </row>
    <row r="688">
      <c r="B688" s="54"/>
      <c r="D688" s="54"/>
      <c r="E688" s="55"/>
    </row>
    <row r="689">
      <c r="B689" s="54"/>
      <c r="D689" s="54"/>
      <c r="E689" s="55"/>
    </row>
    <row r="690">
      <c r="B690" s="54"/>
      <c r="D690" s="54"/>
      <c r="E690" s="55"/>
    </row>
    <row r="691">
      <c r="B691" s="54"/>
      <c r="D691" s="54"/>
      <c r="E691" s="55"/>
    </row>
    <row r="692">
      <c r="B692" s="54"/>
      <c r="D692" s="54"/>
      <c r="E692" s="55"/>
    </row>
    <row r="693">
      <c r="B693" s="54"/>
      <c r="D693" s="54"/>
      <c r="E693" s="55"/>
    </row>
    <row r="694">
      <c r="B694" s="54"/>
      <c r="D694" s="54"/>
      <c r="E694" s="55"/>
    </row>
    <row r="695">
      <c r="B695" s="54"/>
      <c r="D695" s="54"/>
      <c r="E695" s="55"/>
    </row>
    <row r="696">
      <c r="B696" s="54"/>
      <c r="D696" s="54"/>
      <c r="E696" s="55"/>
    </row>
    <row r="697">
      <c r="B697" s="54"/>
      <c r="D697" s="54"/>
      <c r="E697" s="55"/>
    </row>
    <row r="698">
      <c r="B698" s="54"/>
      <c r="D698" s="54"/>
      <c r="E698" s="55"/>
    </row>
    <row r="699">
      <c r="B699" s="54"/>
      <c r="D699" s="54"/>
      <c r="E699" s="55"/>
    </row>
    <row r="700">
      <c r="B700" s="54"/>
      <c r="D700" s="54"/>
      <c r="E700" s="55"/>
    </row>
    <row r="701">
      <c r="B701" s="54"/>
      <c r="D701" s="54"/>
      <c r="E701" s="55"/>
    </row>
    <row r="702">
      <c r="B702" s="54"/>
      <c r="D702" s="54"/>
      <c r="E702" s="55"/>
    </row>
    <row r="703">
      <c r="B703" s="54"/>
      <c r="D703" s="54"/>
      <c r="E703" s="55"/>
    </row>
    <row r="704">
      <c r="B704" s="54"/>
      <c r="D704" s="54"/>
      <c r="E704" s="55"/>
    </row>
    <row r="705">
      <c r="B705" s="54"/>
      <c r="D705" s="54"/>
      <c r="E705" s="55"/>
    </row>
    <row r="706">
      <c r="B706" s="54"/>
      <c r="D706" s="54"/>
      <c r="E706" s="55"/>
    </row>
    <row r="707">
      <c r="B707" s="54"/>
      <c r="D707" s="54"/>
      <c r="E707" s="55"/>
    </row>
    <row r="708">
      <c r="B708" s="54"/>
      <c r="D708" s="54"/>
      <c r="E708" s="55"/>
    </row>
    <row r="709">
      <c r="B709" s="54"/>
      <c r="D709" s="54"/>
      <c r="E709" s="55"/>
    </row>
    <row r="710">
      <c r="B710" s="54"/>
      <c r="D710" s="54"/>
      <c r="E710" s="55"/>
    </row>
    <row r="711">
      <c r="B711" s="54"/>
      <c r="D711" s="54"/>
      <c r="E711" s="55"/>
    </row>
    <row r="712">
      <c r="B712" s="54"/>
      <c r="D712" s="54"/>
      <c r="E712" s="55"/>
    </row>
    <row r="713">
      <c r="B713" s="54"/>
      <c r="D713" s="54"/>
      <c r="E713" s="55"/>
    </row>
    <row r="714">
      <c r="B714" s="54"/>
      <c r="D714" s="54"/>
      <c r="E714" s="55"/>
    </row>
    <row r="715">
      <c r="B715" s="54"/>
      <c r="D715" s="54"/>
      <c r="E715" s="55"/>
    </row>
    <row r="716">
      <c r="B716" s="54"/>
      <c r="D716" s="54"/>
      <c r="E716" s="55"/>
    </row>
    <row r="717">
      <c r="B717" s="54"/>
      <c r="D717" s="54"/>
      <c r="E717" s="55"/>
    </row>
    <row r="718">
      <c r="B718" s="54"/>
      <c r="D718" s="54"/>
      <c r="E718" s="55"/>
    </row>
    <row r="719">
      <c r="B719" s="54"/>
      <c r="D719" s="54"/>
      <c r="E719" s="55"/>
    </row>
    <row r="720">
      <c r="B720" s="54"/>
      <c r="D720" s="54"/>
      <c r="E720" s="55"/>
    </row>
    <row r="721">
      <c r="B721" s="54"/>
      <c r="D721" s="54"/>
      <c r="E721" s="55"/>
    </row>
    <row r="722">
      <c r="B722" s="54"/>
      <c r="D722" s="54"/>
      <c r="E722" s="55"/>
    </row>
    <row r="723">
      <c r="B723" s="54"/>
      <c r="D723" s="54"/>
      <c r="E723" s="55"/>
    </row>
    <row r="724">
      <c r="B724" s="54"/>
      <c r="D724" s="54"/>
      <c r="E724" s="55"/>
    </row>
    <row r="725">
      <c r="B725" s="54"/>
      <c r="D725" s="54"/>
      <c r="E725" s="55"/>
    </row>
    <row r="726">
      <c r="B726" s="54"/>
      <c r="D726" s="54"/>
      <c r="E726" s="55"/>
    </row>
    <row r="727">
      <c r="B727" s="54"/>
      <c r="D727" s="54"/>
      <c r="E727" s="55"/>
    </row>
    <row r="728">
      <c r="B728" s="54"/>
      <c r="D728" s="54"/>
      <c r="E728" s="55"/>
    </row>
    <row r="729">
      <c r="B729" s="54"/>
      <c r="D729" s="54"/>
      <c r="E729" s="55"/>
    </row>
    <row r="730">
      <c r="B730" s="54"/>
      <c r="D730" s="54"/>
      <c r="E730" s="55"/>
    </row>
    <row r="731">
      <c r="B731" s="54"/>
      <c r="D731" s="54"/>
      <c r="E731" s="55"/>
    </row>
    <row r="732">
      <c r="B732" s="54"/>
      <c r="D732" s="54"/>
      <c r="E732" s="55"/>
    </row>
    <row r="733">
      <c r="B733" s="54"/>
      <c r="D733" s="54"/>
      <c r="E733" s="55"/>
    </row>
    <row r="734">
      <c r="B734" s="54"/>
      <c r="D734" s="54"/>
      <c r="E734" s="55"/>
    </row>
    <row r="735">
      <c r="B735" s="54"/>
      <c r="D735" s="54"/>
      <c r="E735" s="55"/>
    </row>
    <row r="736">
      <c r="B736" s="54"/>
      <c r="D736" s="54"/>
      <c r="E736" s="55"/>
    </row>
    <row r="737">
      <c r="B737" s="54"/>
      <c r="D737" s="54"/>
      <c r="E737" s="55"/>
    </row>
    <row r="738">
      <c r="B738" s="54"/>
      <c r="D738" s="54"/>
      <c r="E738" s="55"/>
    </row>
    <row r="739">
      <c r="B739" s="54"/>
      <c r="D739" s="54"/>
      <c r="E739" s="55"/>
    </row>
    <row r="740">
      <c r="B740" s="54"/>
      <c r="D740" s="54"/>
      <c r="E740" s="55"/>
    </row>
    <row r="741">
      <c r="B741" s="54"/>
      <c r="D741" s="54"/>
      <c r="E741" s="55"/>
    </row>
    <row r="742">
      <c r="B742" s="54"/>
      <c r="D742" s="54"/>
      <c r="E742" s="55"/>
    </row>
    <row r="743">
      <c r="B743" s="54"/>
      <c r="D743" s="54"/>
      <c r="E743" s="55"/>
    </row>
    <row r="744">
      <c r="B744" s="54"/>
      <c r="D744" s="54"/>
      <c r="E744" s="55"/>
    </row>
    <row r="745">
      <c r="B745" s="54"/>
      <c r="D745" s="54"/>
      <c r="E745" s="55"/>
    </row>
    <row r="746">
      <c r="B746" s="54"/>
      <c r="D746" s="54"/>
      <c r="E746" s="55"/>
    </row>
    <row r="747">
      <c r="B747" s="54"/>
      <c r="D747" s="54"/>
      <c r="E747" s="55"/>
    </row>
    <row r="748">
      <c r="B748" s="54"/>
      <c r="D748" s="54"/>
      <c r="E748" s="55"/>
    </row>
    <row r="749">
      <c r="B749" s="54"/>
      <c r="D749" s="54"/>
      <c r="E749" s="55"/>
    </row>
    <row r="750">
      <c r="B750" s="54"/>
      <c r="D750" s="54"/>
      <c r="E750" s="55"/>
    </row>
    <row r="751">
      <c r="B751" s="54"/>
      <c r="D751" s="54"/>
      <c r="E751" s="55"/>
    </row>
    <row r="752">
      <c r="B752" s="54"/>
      <c r="D752" s="54"/>
      <c r="E752" s="55"/>
    </row>
    <row r="753">
      <c r="B753" s="54"/>
      <c r="D753" s="54"/>
      <c r="E753" s="55"/>
    </row>
    <row r="754">
      <c r="B754" s="54"/>
      <c r="D754" s="54"/>
      <c r="E754" s="55"/>
    </row>
    <row r="755">
      <c r="B755" s="54"/>
      <c r="D755" s="54"/>
      <c r="E755" s="55"/>
    </row>
    <row r="756">
      <c r="B756" s="54"/>
      <c r="D756" s="54"/>
      <c r="E756" s="55"/>
    </row>
    <row r="757">
      <c r="B757" s="54"/>
      <c r="D757" s="54"/>
      <c r="E757" s="55"/>
    </row>
    <row r="758">
      <c r="B758" s="54"/>
      <c r="D758" s="54"/>
      <c r="E758" s="55"/>
    </row>
    <row r="759">
      <c r="B759" s="54"/>
      <c r="D759" s="54"/>
      <c r="E759" s="55"/>
    </row>
    <row r="760">
      <c r="B760" s="54"/>
      <c r="D760" s="54"/>
      <c r="E760" s="55"/>
    </row>
    <row r="761">
      <c r="B761" s="54"/>
      <c r="D761" s="54"/>
      <c r="E761" s="55"/>
    </row>
    <row r="762">
      <c r="B762" s="54"/>
      <c r="D762" s="54"/>
      <c r="E762" s="55"/>
    </row>
    <row r="763">
      <c r="B763" s="54"/>
      <c r="D763" s="54"/>
      <c r="E763" s="55"/>
    </row>
    <row r="764">
      <c r="B764" s="54"/>
      <c r="D764" s="54"/>
      <c r="E764" s="55"/>
    </row>
    <row r="765">
      <c r="B765" s="54"/>
      <c r="D765" s="54"/>
      <c r="E765" s="55"/>
    </row>
    <row r="766">
      <c r="B766" s="54"/>
      <c r="D766" s="54"/>
      <c r="E766" s="55"/>
    </row>
    <row r="767">
      <c r="B767" s="54"/>
      <c r="D767" s="54"/>
      <c r="E767" s="55"/>
    </row>
    <row r="768">
      <c r="B768" s="54"/>
      <c r="D768" s="54"/>
      <c r="E768" s="55"/>
    </row>
    <row r="769">
      <c r="B769" s="54"/>
      <c r="D769" s="54"/>
      <c r="E769" s="55"/>
    </row>
    <row r="770">
      <c r="B770" s="54"/>
      <c r="D770" s="54"/>
      <c r="E770" s="55"/>
    </row>
    <row r="771">
      <c r="B771" s="54"/>
      <c r="D771" s="54"/>
      <c r="E771" s="55"/>
    </row>
    <row r="772">
      <c r="B772" s="54"/>
      <c r="D772" s="54"/>
      <c r="E772" s="55"/>
    </row>
    <row r="773">
      <c r="B773" s="54"/>
      <c r="D773" s="54"/>
      <c r="E773" s="55"/>
    </row>
    <row r="774">
      <c r="B774" s="54"/>
      <c r="D774" s="54"/>
      <c r="E774" s="55"/>
    </row>
    <row r="775">
      <c r="B775" s="54"/>
      <c r="D775" s="54"/>
      <c r="E775" s="55"/>
    </row>
    <row r="776">
      <c r="B776" s="54"/>
      <c r="D776" s="54"/>
      <c r="E776" s="55"/>
    </row>
    <row r="777">
      <c r="B777" s="54"/>
      <c r="D777" s="54"/>
      <c r="E777" s="55"/>
    </row>
    <row r="778">
      <c r="B778" s="54"/>
      <c r="D778" s="54"/>
      <c r="E778" s="55"/>
    </row>
    <row r="779">
      <c r="B779" s="54"/>
      <c r="D779" s="54"/>
      <c r="E779" s="55"/>
    </row>
    <row r="780">
      <c r="B780" s="54"/>
      <c r="D780" s="54"/>
      <c r="E780" s="55"/>
    </row>
    <row r="781">
      <c r="B781" s="54"/>
      <c r="D781" s="54"/>
      <c r="E781" s="55"/>
    </row>
    <row r="782">
      <c r="B782" s="54"/>
      <c r="D782" s="54"/>
      <c r="E782" s="55"/>
    </row>
    <row r="783">
      <c r="B783" s="54"/>
      <c r="D783" s="54"/>
      <c r="E783" s="55"/>
    </row>
    <row r="784">
      <c r="B784" s="54"/>
      <c r="D784" s="54"/>
      <c r="E784" s="55"/>
    </row>
    <row r="785">
      <c r="B785" s="54"/>
      <c r="D785" s="54"/>
      <c r="E785" s="55"/>
    </row>
    <row r="786">
      <c r="B786" s="54"/>
      <c r="D786" s="54"/>
      <c r="E786" s="55"/>
    </row>
    <row r="787">
      <c r="B787" s="54"/>
      <c r="D787" s="54"/>
      <c r="E787" s="55"/>
    </row>
    <row r="788">
      <c r="B788" s="54"/>
      <c r="D788" s="54"/>
      <c r="E788" s="55"/>
    </row>
    <row r="789">
      <c r="B789" s="54"/>
      <c r="D789" s="54"/>
      <c r="E789" s="55"/>
    </row>
    <row r="790">
      <c r="B790" s="54"/>
      <c r="D790" s="54"/>
      <c r="E790" s="55"/>
    </row>
    <row r="791">
      <c r="B791" s="54"/>
      <c r="D791" s="54"/>
      <c r="E791" s="55"/>
    </row>
    <row r="792">
      <c r="B792" s="54"/>
      <c r="D792" s="54"/>
      <c r="E792" s="55"/>
    </row>
    <row r="793">
      <c r="B793" s="54"/>
      <c r="D793" s="54"/>
      <c r="E793" s="55"/>
    </row>
    <row r="794">
      <c r="B794" s="54"/>
      <c r="D794" s="54"/>
      <c r="E794" s="55"/>
    </row>
    <row r="795">
      <c r="B795" s="54"/>
      <c r="D795" s="54"/>
      <c r="E795" s="55"/>
    </row>
    <row r="796">
      <c r="B796" s="54"/>
      <c r="D796" s="54"/>
      <c r="E796" s="55"/>
    </row>
    <row r="797">
      <c r="B797" s="54"/>
      <c r="D797" s="54"/>
      <c r="E797" s="55"/>
    </row>
    <row r="798">
      <c r="B798" s="54"/>
      <c r="D798" s="54"/>
      <c r="E798" s="55"/>
    </row>
    <row r="799">
      <c r="B799" s="54"/>
      <c r="D799" s="54"/>
      <c r="E799" s="55"/>
    </row>
    <row r="800">
      <c r="B800" s="54"/>
      <c r="D800" s="54"/>
      <c r="E800" s="55"/>
    </row>
    <row r="801">
      <c r="B801" s="54"/>
      <c r="D801" s="54"/>
      <c r="E801" s="55"/>
    </row>
    <row r="802">
      <c r="B802" s="54"/>
      <c r="D802" s="54"/>
      <c r="E802" s="55"/>
    </row>
    <row r="803">
      <c r="B803" s="54"/>
      <c r="D803" s="54"/>
      <c r="E803" s="55"/>
    </row>
    <row r="804">
      <c r="B804" s="54"/>
      <c r="D804" s="54"/>
      <c r="E804" s="55"/>
    </row>
    <row r="805">
      <c r="B805" s="54"/>
      <c r="D805" s="54"/>
      <c r="E805" s="55"/>
    </row>
    <row r="806">
      <c r="B806" s="54"/>
      <c r="D806" s="54"/>
      <c r="E806" s="55"/>
    </row>
    <row r="807">
      <c r="B807" s="54"/>
      <c r="D807" s="54"/>
      <c r="E807" s="55"/>
    </row>
    <row r="808">
      <c r="B808" s="54"/>
      <c r="D808" s="54"/>
      <c r="E808" s="55"/>
    </row>
    <row r="809">
      <c r="B809" s="54"/>
      <c r="D809" s="54"/>
      <c r="E809" s="55"/>
    </row>
    <row r="810">
      <c r="B810" s="54"/>
      <c r="D810" s="54"/>
      <c r="E810" s="55"/>
    </row>
    <row r="811">
      <c r="B811" s="54"/>
      <c r="D811" s="54"/>
      <c r="E811" s="55"/>
    </row>
    <row r="812">
      <c r="B812" s="54"/>
      <c r="D812" s="54"/>
      <c r="E812" s="55"/>
    </row>
    <row r="813">
      <c r="B813" s="54"/>
      <c r="D813" s="54"/>
      <c r="E813" s="55"/>
    </row>
    <row r="814">
      <c r="B814" s="54"/>
      <c r="D814" s="54"/>
      <c r="E814" s="55"/>
    </row>
    <row r="815">
      <c r="B815" s="54"/>
      <c r="D815" s="54"/>
      <c r="E815" s="55"/>
    </row>
    <row r="816">
      <c r="B816" s="54"/>
      <c r="D816" s="54"/>
      <c r="E816" s="55"/>
    </row>
    <row r="817">
      <c r="B817" s="54"/>
      <c r="D817" s="54"/>
      <c r="E817" s="55"/>
    </row>
    <row r="818">
      <c r="B818" s="54"/>
      <c r="D818" s="54"/>
      <c r="E818" s="55"/>
    </row>
    <row r="819">
      <c r="B819" s="54"/>
      <c r="D819" s="54"/>
      <c r="E819" s="55"/>
    </row>
    <row r="820">
      <c r="B820" s="54"/>
      <c r="D820" s="54"/>
      <c r="E820" s="55"/>
    </row>
    <row r="821">
      <c r="B821" s="54"/>
      <c r="D821" s="54"/>
      <c r="E821" s="55"/>
    </row>
    <row r="822">
      <c r="B822" s="54"/>
      <c r="D822" s="54"/>
      <c r="E822" s="55"/>
    </row>
    <row r="823">
      <c r="B823" s="54"/>
      <c r="D823" s="54"/>
      <c r="E823" s="55"/>
    </row>
    <row r="824">
      <c r="B824" s="54"/>
      <c r="D824" s="54"/>
      <c r="E824" s="55"/>
    </row>
    <row r="825">
      <c r="B825" s="54"/>
      <c r="D825" s="54"/>
      <c r="E825" s="55"/>
    </row>
    <row r="826">
      <c r="B826" s="54"/>
      <c r="D826" s="54"/>
      <c r="E826" s="55"/>
    </row>
    <row r="827">
      <c r="B827" s="54"/>
      <c r="D827" s="54"/>
      <c r="E827" s="55"/>
    </row>
    <row r="828">
      <c r="B828" s="54"/>
      <c r="D828" s="54"/>
      <c r="E828" s="55"/>
    </row>
    <row r="829">
      <c r="B829" s="54"/>
      <c r="D829" s="54"/>
      <c r="E829" s="55"/>
    </row>
    <row r="830">
      <c r="B830" s="54"/>
      <c r="D830" s="54"/>
      <c r="E830" s="55"/>
    </row>
    <row r="831">
      <c r="B831" s="54"/>
      <c r="D831" s="54"/>
      <c r="E831" s="55"/>
    </row>
    <row r="832">
      <c r="B832" s="54"/>
      <c r="D832" s="54"/>
      <c r="E832" s="55"/>
    </row>
    <row r="833">
      <c r="B833" s="54"/>
      <c r="D833" s="54"/>
      <c r="E833" s="55"/>
    </row>
    <row r="834">
      <c r="B834" s="54"/>
      <c r="D834" s="54"/>
      <c r="E834" s="55"/>
    </row>
    <row r="835">
      <c r="B835" s="54"/>
      <c r="D835" s="54"/>
      <c r="E835" s="55"/>
    </row>
    <row r="836">
      <c r="B836" s="54"/>
      <c r="D836" s="54"/>
      <c r="E836" s="55"/>
    </row>
    <row r="837">
      <c r="B837" s="54"/>
      <c r="D837" s="54"/>
      <c r="E837" s="55"/>
    </row>
    <row r="838">
      <c r="B838" s="54"/>
      <c r="D838" s="54"/>
      <c r="E838" s="55"/>
    </row>
    <row r="839">
      <c r="B839" s="54"/>
      <c r="D839" s="54"/>
      <c r="E839" s="55"/>
    </row>
    <row r="840">
      <c r="B840" s="54"/>
      <c r="D840" s="54"/>
      <c r="E840" s="55"/>
    </row>
    <row r="841">
      <c r="B841" s="54"/>
      <c r="D841" s="54"/>
      <c r="E841" s="55"/>
    </row>
    <row r="842">
      <c r="B842" s="54"/>
      <c r="D842" s="54"/>
      <c r="E842" s="55"/>
    </row>
    <row r="843">
      <c r="B843" s="54"/>
      <c r="D843" s="54"/>
      <c r="E843" s="55"/>
    </row>
    <row r="844">
      <c r="B844" s="54"/>
      <c r="D844" s="54"/>
      <c r="E844" s="55"/>
    </row>
    <row r="845">
      <c r="B845" s="54"/>
      <c r="D845" s="54"/>
      <c r="E845" s="55"/>
    </row>
    <row r="846">
      <c r="B846" s="54"/>
      <c r="D846" s="54"/>
      <c r="E846" s="55"/>
    </row>
    <row r="847">
      <c r="B847" s="54"/>
      <c r="D847" s="54"/>
      <c r="E847" s="55"/>
    </row>
    <row r="848">
      <c r="B848" s="54"/>
      <c r="D848" s="54"/>
      <c r="E848" s="55"/>
    </row>
    <row r="849">
      <c r="B849" s="54"/>
      <c r="D849" s="54"/>
      <c r="E849" s="55"/>
    </row>
    <row r="850">
      <c r="B850" s="54"/>
      <c r="D850" s="54"/>
      <c r="E850" s="55"/>
    </row>
    <row r="851">
      <c r="B851" s="54"/>
      <c r="D851" s="54"/>
      <c r="E851" s="55"/>
    </row>
    <row r="852">
      <c r="B852" s="54"/>
      <c r="D852" s="54"/>
      <c r="E852" s="55"/>
    </row>
    <row r="853">
      <c r="B853" s="54"/>
      <c r="D853" s="54"/>
      <c r="E853" s="55"/>
    </row>
    <row r="854">
      <c r="B854" s="54"/>
      <c r="D854" s="54"/>
      <c r="E854" s="55"/>
    </row>
    <row r="855">
      <c r="B855" s="54"/>
      <c r="D855" s="54"/>
      <c r="E855" s="55"/>
    </row>
    <row r="856">
      <c r="B856" s="54"/>
      <c r="D856" s="54"/>
      <c r="E856" s="55"/>
    </row>
    <row r="857">
      <c r="B857" s="54"/>
      <c r="D857" s="54"/>
      <c r="E857" s="55"/>
    </row>
    <row r="858">
      <c r="B858" s="54"/>
      <c r="D858" s="54"/>
      <c r="E858" s="55"/>
    </row>
    <row r="859">
      <c r="B859" s="54"/>
      <c r="D859" s="54"/>
      <c r="E859" s="55"/>
    </row>
    <row r="860">
      <c r="B860" s="54"/>
      <c r="D860" s="54"/>
      <c r="E860" s="55"/>
    </row>
    <row r="861">
      <c r="B861" s="54"/>
      <c r="D861" s="54"/>
      <c r="E861" s="55"/>
    </row>
    <row r="862">
      <c r="B862" s="54"/>
      <c r="D862" s="54"/>
      <c r="E862" s="55"/>
    </row>
    <row r="863">
      <c r="B863" s="54"/>
      <c r="D863" s="54"/>
      <c r="E863" s="55"/>
    </row>
    <row r="864">
      <c r="B864" s="54"/>
      <c r="D864" s="54"/>
      <c r="E864" s="55"/>
    </row>
    <row r="865">
      <c r="B865" s="54"/>
      <c r="D865" s="54"/>
      <c r="E865" s="55"/>
    </row>
    <row r="866">
      <c r="B866" s="54"/>
      <c r="D866" s="54"/>
      <c r="E866" s="55"/>
    </row>
    <row r="867">
      <c r="B867" s="54"/>
      <c r="D867" s="54"/>
      <c r="E867" s="55"/>
    </row>
    <row r="868">
      <c r="B868" s="54"/>
      <c r="D868" s="54"/>
      <c r="E868" s="55"/>
    </row>
    <row r="869">
      <c r="B869" s="54"/>
      <c r="D869" s="54"/>
      <c r="E869" s="55"/>
    </row>
    <row r="870">
      <c r="B870" s="54"/>
      <c r="D870" s="54"/>
      <c r="E870" s="55"/>
    </row>
    <row r="871">
      <c r="B871" s="54"/>
      <c r="D871" s="54"/>
      <c r="E871" s="55"/>
    </row>
    <row r="872">
      <c r="B872" s="54"/>
      <c r="D872" s="54"/>
      <c r="E872" s="55"/>
    </row>
    <row r="873">
      <c r="B873" s="54"/>
      <c r="D873" s="54"/>
      <c r="E873" s="55"/>
    </row>
    <row r="874">
      <c r="B874" s="54"/>
      <c r="D874" s="54"/>
      <c r="E874" s="55"/>
    </row>
    <row r="875">
      <c r="B875" s="54"/>
      <c r="D875" s="54"/>
      <c r="E875" s="55"/>
    </row>
    <row r="876">
      <c r="B876" s="54"/>
      <c r="D876" s="54"/>
      <c r="E876" s="55"/>
    </row>
    <row r="877">
      <c r="B877" s="54"/>
      <c r="D877" s="54"/>
      <c r="E877" s="55"/>
    </row>
    <row r="878">
      <c r="B878" s="54"/>
      <c r="D878" s="54"/>
      <c r="E878" s="55"/>
    </row>
    <row r="879">
      <c r="B879" s="54"/>
      <c r="D879" s="54"/>
      <c r="E879" s="55"/>
    </row>
    <row r="880">
      <c r="B880" s="54"/>
      <c r="D880" s="54"/>
      <c r="E880" s="55"/>
    </row>
    <row r="881">
      <c r="B881" s="54"/>
      <c r="D881" s="54"/>
      <c r="E881" s="55"/>
    </row>
    <row r="882">
      <c r="B882" s="54"/>
      <c r="D882" s="54"/>
      <c r="E882" s="55"/>
    </row>
    <row r="883">
      <c r="B883" s="54"/>
      <c r="D883" s="54"/>
      <c r="E883" s="55"/>
    </row>
    <row r="884">
      <c r="B884" s="54"/>
      <c r="D884" s="54"/>
      <c r="E884" s="55"/>
    </row>
    <row r="885">
      <c r="B885" s="54"/>
      <c r="D885" s="54"/>
      <c r="E885" s="55"/>
    </row>
    <row r="886">
      <c r="B886" s="54"/>
      <c r="D886" s="54"/>
      <c r="E886" s="55"/>
    </row>
    <row r="887">
      <c r="B887" s="54"/>
      <c r="D887" s="54"/>
      <c r="E887" s="55"/>
    </row>
    <row r="888">
      <c r="B888" s="54"/>
      <c r="D888" s="54"/>
      <c r="E888" s="55"/>
    </row>
    <row r="889">
      <c r="B889" s="54"/>
      <c r="D889" s="54"/>
      <c r="E889" s="55"/>
    </row>
    <row r="890">
      <c r="B890" s="54"/>
      <c r="D890" s="54"/>
      <c r="E890" s="55"/>
    </row>
    <row r="891">
      <c r="B891" s="54"/>
      <c r="D891" s="54"/>
      <c r="E891" s="55"/>
    </row>
    <row r="892">
      <c r="B892" s="54"/>
      <c r="D892" s="54"/>
      <c r="E892" s="55"/>
    </row>
    <row r="893">
      <c r="B893" s="54"/>
      <c r="D893" s="54"/>
      <c r="E893" s="55"/>
    </row>
    <row r="894">
      <c r="B894" s="54"/>
      <c r="D894" s="54"/>
      <c r="E894" s="55"/>
    </row>
    <row r="895">
      <c r="B895" s="54"/>
      <c r="D895" s="54"/>
      <c r="E895" s="55"/>
    </row>
    <row r="896">
      <c r="B896" s="54"/>
      <c r="D896" s="54"/>
      <c r="E896" s="55"/>
    </row>
    <row r="897">
      <c r="B897" s="54"/>
      <c r="D897" s="54"/>
      <c r="E897" s="55"/>
    </row>
    <row r="898">
      <c r="B898" s="54"/>
      <c r="D898" s="54"/>
      <c r="E898" s="55"/>
    </row>
    <row r="899">
      <c r="B899" s="54"/>
      <c r="D899" s="54"/>
      <c r="E899" s="55"/>
    </row>
    <row r="900">
      <c r="B900" s="54"/>
      <c r="D900" s="54"/>
      <c r="E900" s="55"/>
    </row>
    <row r="901">
      <c r="B901" s="54"/>
      <c r="D901" s="54"/>
      <c r="E901" s="55"/>
    </row>
    <row r="902">
      <c r="B902" s="54"/>
      <c r="D902" s="54"/>
      <c r="E902" s="55"/>
    </row>
    <row r="903">
      <c r="B903" s="54"/>
      <c r="D903" s="54"/>
      <c r="E903" s="55"/>
    </row>
    <row r="904">
      <c r="B904" s="54"/>
      <c r="D904" s="54"/>
      <c r="E904" s="55"/>
    </row>
    <row r="905">
      <c r="B905" s="54"/>
      <c r="D905" s="54"/>
      <c r="E905" s="55"/>
    </row>
    <row r="906">
      <c r="B906" s="54"/>
      <c r="D906" s="54"/>
      <c r="E906" s="55"/>
    </row>
    <row r="907">
      <c r="B907" s="54"/>
      <c r="D907" s="54"/>
      <c r="E907" s="55"/>
    </row>
    <row r="908">
      <c r="B908" s="54"/>
      <c r="D908" s="54"/>
      <c r="E908" s="55"/>
    </row>
    <row r="909">
      <c r="B909" s="54"/>
      <c r="D909" s="54"/>
      <c r="E909" s="55"/>
    </row>
    <row r="910">
      <c r="B910" s="54"/>
      <c r="D910" s="54"/>
      <c r="E910" s="55"/>
    </row>
    <row r="911">
      <c r="B911" s="54"/>
      <c r="D911" s="54"/>
      <c r="E911" s="55"/>
    </row>
    <row r="912">
      <c r="B912" s="54"/>
      <c r="D912" s="54"/>
      <c r="E912" s="55"/>
    </row>
    <row r="913">
      <c r="B913" s="54"/>
      <c r="D913" s="54"/>
      <c r="E913" s="55"/>
    </row>
    <row r="914">
      <c r="B914" s="54"/>
      <c r="D914" s="54"/>
      <c r="E914" s="55"/>
    </row>
    <row r="915">
      <c r="B915" s="54"/>
      <c r="D915" s="54"/>
      <c r="E915" s="55"/>
    </row>
    <row r="916">
      <c r="B916" s="54"/>
      <c r="D916" s="54"/>
      <c r="E916" s="55"/>
    </row>
    <row r="917">
      <c r="B917" s="54"/>
      <c r="D917" s="54"/>
      <c r="E917" s="55"/>
    </row>
    <row r="918">
      <c r="B918" s="54"/>
      <c r="D918" s="54"/>
      <c r="E918" s="55"/>
    </row>
    <row r="919">
      <c r="B919" s="54"/>
      <c r="D919" s="54"/>
      <c r="E919" s="55"/>
    </row>
    <row r="920">
      <c r="B920" s="54"/>
      <c r="D920" s="54"/>
      <c r="E920" s="55"/>
    </row>
    <row r="921">
      <c r="B921" s="54"/>
      <c r="D921" s="54"/>
      <c r="E921" s="55"/>
    </row>
    <row r="922">
      <c r="B922" s="54"/>
      <c r="D922" s="54"/>
      <c r="E922" s="55"/>
    </row>
    <row r="923">
      <c r="B923" s="54"/>
      <c r="D923" s="54"/>
      <c r="E923" s="55"/>
    </row>
    <row r="924">
      <c r="B924" s="54"/>
      <c r="D924" s="54"/>
      <c r="E924" s="55"/>
    </row>
    <row r="925">
      <c r="B925" s="54"/>
      <c r="D925" s="54"/>
      <c r="E925" s="55"/>
    </row>
    <row r="926">
      <c r="B926" s="54"/>
      <c r="D926" s="54"/>
      <c r="E926" s="55"/>
    </row>
    <row r="927">
      <c r="B927" s="54"/>
      <c r="D927" s="54"/>
      <c r="E927" s="55"/>
    </row>
    <row r="928">
      <c r="B928" s="54"/>
      <c r="D928" s="54"/>
      <c r="E928" s="55"/>
    </row>
    <row r="929">
      <c r="B929" s="54"/>
      <c r="D929" s="54"/>
      <c r="E929" s="55"/>
    </row>
    <row r="930">
      <c r="B930" s="54"/>
      <c r="D930" s="54"/>
      <c r="E930" s="55"/>
    </row>
    <row r="931">
      <c r="B931" s="54"/>
      <c r="D931" s="54"/>
      <c r="E931" s="55"/>
    </row>
    <row r="932">
      <c r="B932" s="54"/>
      <c r="D932" s="54"/>
      <c r="E932" s="55"/>
    </row>
    <row r="933">
      <c r="B933" s="54"/>
      <c r="D933" s="54"/>
      <c r="E933" s="55"/>
    </row>
    <row r="934">
      <c r="B934" s="54"/>
      <c r="D934" s="54"/>
      <c r="E934" s="55"/>
    </row>
    <row r="935">
      <c r="B935" s="54"/>
      <c r="D935" s="54"/>
      <c r="E935" s="55"/>
    </row>
    <row r="936">
      <c r="B936" s="54"/>
      <c r="D936" s="54"/>
      <c r="E936" s="55"/>
    </row>
    <row r="937">
      <c r="B937" s="54"/>
      <c r="D937" s="54"/>
      <c r="E937" s="55"/>
    </row>
    <row r="938">
      <c r="B938" s="54"/>
      <c r="D938" s="54"/>
      <c r="E938" s="55"/>
    </row>
    <row r="939">
      <c r="B939" s="54"/>
      <c r="D939" s="54"/>
      <c r="E939" s="55"/>
    </row>
    <row r="940">
      <c r="B940" s="54"/>
      <c r="D940" s="54"/>
      <c r="E940" s="55"/>
    </row>
    <row r="941">
      <c r="B941" s="54"/>
      <c r="D941" s="54"/>
      <c r="E941" s="55"/>
    </row>
    <row r="942">
      <c r="B942" s="54"/>
      <c r="D942" s="54"/>
      <c r="E942" s="55"/>
    </row>
    <row r="943">
      <c r="B943" s="54"/>
      <c r="D943" s="54"/>
      <c r="E943" s="55"/>
    </row>
    <row r="944">
      <c r="B944" s="54"/>
      <c r="D944" s="54"/>
      <c r="E944" s="55"/>
    </row>
    <row r="945">
      <c r="B945" s="54"/>
      <c r="D945" s="54"/>
      <c r="E945" s="55"/>
    </row>
    <row r="946">
      <c r="B946" s="54"/>
      <c r="D946" s="54"/>
      <c r="E946" s="55"/>
    </row>
    <row r="947">
      <c r="B947" s="54"/>
      <c r="D947" s="54"/>
      <c r="E947" s="55"/>
    </row>
    <row r="948">
      <c r="B948" s="54"/>
      <c r="D948" s="54"/>
      <c r="E948" s="55"/>
    </row>
    <row r="949">
      <c r="B949" s="54"/>
      <c r="D949" s="54"/>
      <c r="E949" s="55"/>
    </row>
    <row r="950">
      <c r="B950" s="54"/>
      <c r="D950" s="54"/>
      <c r="E950" s="55"/>
    </row>
    <row r="951">
      <c r="B951" s="54"/>
      <c r="D951" s="54"/>
      <c r="E951" s="55"/>
    </row>
    <row r="952">
      <c r="B952" s="54"/>
      <c r="D952" s="54"/>
      <c r="E952" s="55"/>
    </row>
    <row r="953">
      <c r="B953" s="54"/>
      <c r="D953" s="54"/>
      <c r="E953" s="55"/>
    </row>
    <row r="954">
      <c r="B954" s="54"/>
      <c r="D954" s="54"/>
      <c r="E954" s="55"/>
    </row>
    <row r="955">
      <c r="B955" s="54"/>
      <c r="D955" s="54"/>
      <c r="E955" s="55"/>
    </row>
    <row r="956">
      <c r="B956" s="54"/>
      <c r="D956" s="54"/>
      <c r="E956" s="55"/>
    </row>
    <row r="957">
      <c r="B957" s="54"/>
      <c r="D957" s="54"/>
      <c r="E957" s="55"/>
    </row>
    <row r="958">
      <c r="B958" s="54"/>
      <c r="D958" s="54"/>
      <c r="E958" s="55"/>
    </row>
    <row r="959">
      <c r="B959" s="54"/>
      <c r="D959" s="54"/>
      <c r="E959" s="55"/>
    </row>
    <row r="960">
      <c r="B960" s="54"/>
      <c r="D960" s="54"/>
      <c r="E960" s="55"/>
    </row>
    <row r="961">
      <c r="B961" s="54"/>
      <c r="D961" s="54"/>
      <c r="E961" s="55"/>
    </row>
    <row r="962">
      <c r="B962" s="54"/>
      <c r="D962" s="54"/>
      <c r="E962" s="55"/>
    </row>
    <row r="963">
      <c r="B963" s="54"/>
      <c r="D963" s="54"/>
      <c r="E963" s="55"/>
    </row>
    <row r="964">
      <c r="B964" s="54"/>
      <c r="D964" s="54"/>
      <c r="E964" s="55"/>
    </row>
    <row r="965">
      <c r="B965" s="54"/>
      <c r="D965" s="54"/>
      <c r="E965" s="55"/>
    </row>
    <row r="966">
      <c r="B966" s="54"/>
      <c r="D966" s="54"/>
      <c r="E966" s="55"/>
    </row>
    <row r="967">
      <c r="B967" s="54"/>
      <c r="D967" s="54"/>
      <c r="E967" s="55"/>
    </row>
    <row r="968">
      <c r="B968" s="54"/>
      <c r="D968" s="54"/>
      <c r="E968" s="55"/>
    </row>
    <row r="969">
      <c r="B969" s="54"/>
      <c r="D969" s="54"/>
      <c r="E969" s="55"/>
    </row>
    <row r="970">
      <c r="B970" s="54"/>
      <c r="D970" s="54"/>
      <c r="E970" s="55"/>
    </row>
    <row r="971">
      <c r="B971" s="54"/>
      <c r="D971" s="54"/>
      <c r="E971" s="55"/>
    </row>
    <row r="972">
      <c r="B972" s="54"/>
      <c r="D972" s="54"/>
      <c r="E972" s="55"/>
    </row>
    <row r="973">
      <c r="B973" s="54"/>
      <c r="D973" s="54"/>
      <c r="E973" s="55"/>
    </row>
    <row r="974">
      <c r="B974" s="54"/>
      <c r="D974" s="54"/>
      <c r="E974" s="55"/>
    </row>
    <row r="975">
      <c r="B975" s="54"/>
      <c r="D975" s="54"/>
      <c r="E975" s="55"/>
    </row>
    <row r="976">
      <c r="B976" s="54"/>
      <c r="D976" s="54"/>
      <c r="E976" s="55"/>
    </row>
    <row r="977">
      <c r="B977" s="54"/>
      <c r="D977" s="54"/>
      <c r="E977" s="55"/>
    </row>
    <row r="978">
      <c r="B978" s="54"/>
      <c r="D978" s="54"/>
      <c r="E978" s="55"/>
    </row>
    <row r="979">
      <c r="B979" s="54"/>
      <c r="D979" s="54"/>
      <c r="E979" s="55"/>
    </row>
    <row r="980">
      <c r="B980" s="54"/>
      <c r="D980" s="54"/>
      <c r="E980" s="55"/>
    </row>
    <row r="981">
      <c r="B981" s="54"/>
      <c r="D981" s="54"/>
      <c r="E981" s="55"/>
    </row>
    <row r="982">
      <c r="B982" s="54"/>
      <c r="D982" s="54"/>
      <c r="E982" s="55"/>
    </row>
    <row r="983">
      <c r="B983" s="54"/>
      <c r="D983" s="54"/>
      <c r="E983" s="55"/>
    </row>
    <row r="984">
      <c r="B984" s="54"/>
      <c r="D984" s="54"/>
      <c r="E984" s="55"/>
    </row>
    <row r="985">
      <c r="B985" s="54"/>
      <c r="D985" s="54"/>
      <c r="E985" s="55"/>
    </row>
    <row r="986">
      <c r="B986" s="54"/>
      <c r="D986" s="54"/>
      <c r="E986" s="55"/>
    </row>
    <row r="987">
      <c r="B987" s="54"/>
      <c r="D987" s="54"/>
      <c r="E987" s="55"/>
    </row>
    <row r="988">
      <c r="B988" s="54"/>
      <c r="D988" s="54"/>
      <c r="E988" s="55"/>
    </row>
    <row r="989">
      <c r="B989" s="54"/>
      <c r="D989" s="54"/>
      <c r="E989" s="55"/>
    </row>
    <row r="990">
      <c r="B990" s="54"/>
      <c r="D990" s="54"/>
      <c r="E990" s="55"/>
    </row>
    <row r="991">
      <c r="B991" s="54"/>
      <c r="D991" s="54"/>
      <c r="E991" s="55"/>
    </row>
    <row r="992">
      <c r="B992" s="54"/>
      <c r="D992" s="54"/>
      <c r="E992" s="55"/>
    </row>
    <row r="993">
      <c r="B993" s="54"/>
      <c r="D993" s="54"/>
      <c r="E993" s="55"/>
    </row>
    <row r="994">
      <c r="B994" s="54"/>
      <c r="D994" s="54"/>
      <c r="E994" s="55"/>
    </row>
    <row r="995">
      <c r="B995" s="54"/>
      <c r="D995" s="54"/>
      <c r="E995" s="55"/>
    </row>
    <row r="996">
      <c r="B996" s="54"/>
      <c r="D996" s="54"/>
      <c r="E996" s="55"/>
    </row>
    <row r="997">
      <c r="B997" s="54"/>
      <c r="D997" s="54"/>
      <c r="E997" s="55"/>
    </row>
    <row r="998">
      <c r="B998" s="54"/>
      <c r="D998" s="54"/>
      <c r="E998" s="55"/>
    </row>
    <row r="999">
      <c r="B999" s="54"/>
      <c r="D999" s="54"/>
      <c r="E999" s="55"/>
    </row>
    <row r="1000">
      <c r="B1000" s="54"/>
      <c r="D1000" s="54"/>
      <c r="E1000" s="55"/>
    </row>
  </sheetData>
  <dataValidations>
    <dataValidation type="list" allowBlank="1" showDropDown="1" showErrorMessage="1" sqref="F2:F42">
      <formula1>"1,2,3"</formula1>
    </dataValidation>
    <dataValidation type="list" allowBlank="1" showDropDown="1" showErrorMessage="1" sqref="G2:G42">
      <formula1>"2,3,1,4"</formula1>
    </dataValidation>
    <dataValidation allowBlank="1" showDropDown="1" sqref="H2:H42"/>
  </dataValidations>
  <drawing r:id="rId1"/>
  <tableParts count="4">
    <tablePart r:id="rId6"/>
    <tablePart r:id="rId7"/>
    <tablePart r:id="rId8"/>
    <tablePart r:id="rId9"/>
  </tableParts>
</worksheet>
</file>